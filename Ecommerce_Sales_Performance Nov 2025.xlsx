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esktop\Pankaj Document\My Projects\E-Commerce Sales Analysis\"/>
    </mc:Choice>
  </mc:AlternateContent>
  <bookViews>
    <workbookView xWindow="0" yWindow="0" windowWidth="19200" windowHeight="6330"/>
  </bookViews>
  <sheets>
    <sheet name="Ecommerce_Sales_Performance" sheetId="1" r:id="rId1"/>
    <sheet name="Dashboard" sheetId="2" r:id="rId2"/>
  </sheets>
  <definedNames>
    <definedName name="Slicer_Payment_Method">#N/A</definedName>
    <definedName name="Slicer_ProductCategory">#N/A</definedName>
    <definedName name="Slicer_Region">#N/A</definedName>
  </definedNames>
  <calcPr calcId="162913"/>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<sst xmlns="http://schemas.openxmlformats.org/spreadsheetml/2006/main" count="651" uniqueCount="194">
  <si>
    <t>CustomerID</t>
  </si>
  <si>
    <t>Region</t>
  </si>
  <si>
    <t>Quantity</t>
  </si>
  <si>
    <t>Row Labels</t>
  </si>
  <si>
    <t>Total Sales</t>
  </si>
  <si>
    <t>O0001</t>
  </si>
  <si>
    <t>C1032</t>
  </si>
  <si>
    <t>North</t>
  </si>
  <si>
    <t>Grocery</t>
  </si>
  <si>
    <t>Milk</t>
  </si>
  <si>
    <t>UPI</t>
  </si>
  <si>
    <t>South</t>
  </si>
  <si>
    <t>O0002</t>
  </si>
  <si>
    <t>C1009</t>
  </si>
  <si>
    <t>East</t>
  </si>
  <si>
    <t>Oil</t>
  </si>
  <si>
    <t>Credit Card</t>
  </si>
  <si>
    <t>O0003</t>
  </si>
  <si>
    <t>C1045</t>
  </si>
  <si>
    <t>Electronics</t>
  </si>
  <si>
    <t>Camera</t>
  </si>
  <si>
    <t>O0004</t>
  </si>
  <si>
    <t>C1031</t>
  </si>
  <si>
    <t>Home</t>
  </si>
  <si>
    <t>Table</t>
  </si>
  <si>
    <t>Debit Card</t>
  </si>
  <si>
    <t>West</t>
  </si>
  <si>
    <t>O0005</t>
  </si>
  <si>
    <t>C1030</t>
  </si>
  <si>
    <t>Sports</t>
  </si>
  <si>
    <t>Gym Gloves</t>
  </si>
  <si>
    <t>Grand Total</t>
  </si>
  <si>
    <t>O0006</t>
  </si>
  <si>
    <t>C1046</t>
  </si>
  <si>
    <t>Mixer</t>
  </si>
  <si>
    <t>COD</t>
  </si>
  <si>
    <t>O0007</t>
  </si>
  <si>
    <t>C1022</t>
  </si>
  <si>
    <t>O0008</t>
  </si>
  <si>
    <t>C1006</t>
  </si>
  <si>
    <t>Fashion</t>
  </si>
  <si>
    <t>Jacket</t>
  </si>
  <si>
    <t>Jan</t>
  </si>
  <si>
    <t>O0009</t>
  </si>
  <si>
    <t>C1040</t>
  </si>
  <si>
    <t>Rice</t>
  </si>
  <si>
    <t>Feb</t>
  </si>
  <si>
    <t>O0010</t>
  </si>
  <si>
    <t>C1047</t>
  </si>
  <si>
    <t>Jeans</t>
  </si>
  <si>
    <t>Mar</t>
  </si>
  <si>
    <t>O0011</t>
  </si>
  <si>
    <t>C1036</t>
  </si>
  <si>
    <t>O0012</t>
  </si>
  <si>
    <t>C1023</t>
  </si>
  <si>
    <t>O0013</t>
  </si>
  <si>
    <t>C1017</t>
  </si>
  <si>
    <t>O0014</t>
  </si>
  <si>
    <t>C1021</t>
  </si>
  <si>
    <t>Smartphone</t>
  </si>
  <si>
    <t>O0015</t>
  </si>
  <si>
    <t>C1048</t>
  </si>
  <si>
    <t>O0016</t>
  </si>
  <si>
    <t>C1016</t>
  </si>
  <si>
    <t>Sugar</t>
  </si>
  <si>
    <t>O0017</t>
  </si>
  <si>
    <t>C1041</t>
  </si>
  <si>
    <t>Iron</t>
  </si>
  <si>
    <t>O0018</t>
  </si>
  <si>
    <t>O0019</t>
  </si>
  <si>
    <t>O0020</t>
  </si>
  <si>
    <t>C1050</t>
  </si>
  <si>
    <t>Laptop</t>
  </si>
  <si>
    <t>O0021</t>
  </si>
  <si>
    <t>C1027</t>
  </si>
  <si>
    <t>Chair</t>
  </si>
  <si>
    <t>O0022</t>
  </si>
  <si>
    <t>O0023</t>
  </si>
  <si>
    <t>C1005</t>
  </si>
  <si>
    <t>O0024</t>
  </si>
  <si>
    <t>C1044</t>
  </si>
  <si>
    <t>O0025</t>
  </si>
  <si>
    <t>C1043</t>
  </si>
  <si>
    <t>Tennis Racket</t>
  </si>
  <si>
    <t>O0026</t>
  </si>
  <si>
    <t>C1001</t>
  </si>
  <si>
    <t>Football</t>
  </si>
  <si>
    <t>O0027</t>
  </si>
  <si>
    <t>O0028</t>
  </si>
  <si>
    <t>O0029</t>
  </si>
  <si>
    <t>C1007</t>
  </si>
  <si>
    <t>O0030</t>
  </si>
  <si>
    <t>C1002</t>
  </si>
  <si>
    <t>T-Shirt</t>
  </si>
  <si>
    <t>O0031</t>
  </si>
  <si>
    <t>Cricket Bat</t>
  </si>
  <si>
    <t>O0032</t>
  </si>
  <si>
    <t>O0033</t>
  </si>
  <si>
    <t>O0034</t>
  </si>
  <si>
    <t>C1035</t>
  </si>
  <si>
    <t>O0035</t>
  </si>
  <si>
    <t>O0036</t>
  </si>
  <si>
    <t>O0037</t>
  </si>
  <si>
    <t>C1039</t>
  </si>
  <si>
    <t>O0038</t>
  </si>
  <si>
    <t>O0039</t>
  </si>
  <si>
    <t>O0040</t>
  </si>
  <si>
    <t>O0041</t>
  </si>
  <si>
    <t>C1003</t>
  </si>
  <si>
    <t>O0042</t>
  </si>
  <si>
    <t>C1010</t>
  </si>
  <si>
    <t>O0043</t>
  </si>
  <si>
    <t>O0044</t>
  </si>
  <si>
    <t>O0045</t>
  </si>
  <si>
    <t>C1042</t>
  </si>
  <si>
    <t>O0046</t>
  </si>
  <si>
    <t>C1025</t>
  </si>
  <si>
    <t>O0047</t>
  </si>
  <si>
    <t>C1011</t>
  </si>
  <si>
    <t>Headphones</t>
  </si>
  <si>
    <t>O0048</t>
  </si>
  <si>
    <t>O0049</t>
  </si>
  <si>
    <t>C1034</t>
  </si>
  <si>
    <t>O0050</t>
  </si>
  <si>
    <t>O0051</t>
  </si>
  <si>
    <t>O0052</t>
  </si>
  <si>
    <t>C1049</t>
  </si>
  <si>
    <t>O0053</t>
  </si>
  <si>
    <t>C1026</t>
  </si>
  <si>
    <t>O0054</t>
  </si>
  <si>
    <t>C1028</t>
  </si>
  <si>
    <t>Shoes</t>
  </si>
  <si>
    <t>O0055</t>
  </si>
  <si>
    <t>O0056</t>
  </si>
  <si>
    <t>C1004</t>
  </si>
  <si>
    <t>O0057</t>
  </si>
  <si>
    <t>O0058</t>
  </si>
  <si>
    <t>O0059</t>
  </si>
  <si>
    <t>C1018</t>
  </si>
  <si>
    <t>O0060</t>
  </si>
  <si>
    <t>O0061</t>
  </si>
  <si>
    <t>O0062</t>
  </si>
  <si>
    <t>O0063</t>
  </si>
  <si>
    <t>O0064</t>
  </si>
  <si>
    <t>O0065</t>
  </si>
  <si>
    <t>O0066</t>
  </si>
  <si>
    <t>O0067</t>
  </si>
  <si>
    <t>O0068</t>
  </si>
  <si>
    <t>O0069</t>
  </si>
  <si>
    <t>O0070</t>
  </si>
  <si>
    <t>O0071</t>
  </si>
  <si>
    <t>O0072</t>
  </si>
  <si>
    <t>O0073</t>
  </si>
  <si>
    <t>O0074</t>
  </si>
  <si>
    <t>O0075</t>
  </si>
  <si>
    <t>O0076</t>
  </si>
  <si>
    <t>O0077</t>
  </si>
  <si>
    <t>O0078</t>
  </si>
  <si>
    <t>C1037</t>
  </si>
  <si>
    <t>O0079</t>
  </si>
  <si>
    <t>O0080</t>
  </si>
  <si>
    <t>C1038</t>
  </si>
  <si>
    <t>O0081</t>
  </si>
  <si>
    <t>O0082</t>
  </si>
  <si>
    <t>O0083</t>
  </si>
  <si>
    <t>O0084</t>
  </si>
  <si>
    <t>C1020</t>
  </si>
  <si>
    <t>O0085</t>
  </si>
  <si>
    <t>O0086</t>
  </si>
  <si>
    <t>C1033</t>
  </si>
  <si>
    <t>O0087</t>
  </si>
  <si>
    <t>O0088</t>
  </si>
  <si>
    <t>O0089</t>
  </si>
  <si>
    <t>O0090</t>
  </si>
  <si>
    <t>O0091</t>
  </si>
  <si>
    <t>O0092</t>
  </si>
  <si>
    <t>O0093</t>
  </si>
  <si>
    <t>O0094</t>
  </si>
  <si>
    <t>C1024</t>
  </si>
  <si>
    <t>O0095</t>
  </si>
  <si>
    <t>O0096</t>
  </si>
  <si>
    <t>C1015</t>
  </si>
  <si>
    <t>O0097</t>
  </si>
  <si>
    <t>O0098</t>
  </si>
  <si>
    <t>O0099</t>
  </si>
  <si>
    <t>O0100</t>
  </si>
  <si>
    <t>Payment Method</t>
  </si>
  <si>
    <t>Product Name</t>
  </si>
  <si>
    <t>Order Date</t>
  </si>
  <si>
    <t>Order ID</t>
  </si>
  <si>
    <t>Unit Price</t>
  </si>
  <si>
    <t>Sum of Total Sales</t>
  </si>
  <si>
    <t>.Total Sales</t>
  </si>
  <si>
    <t>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</si>
</sst>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Rockwell"/>
      <family val="2"/>
      <scheme val="minor"/>
    </font>
    <font>
      <sz val="11"/>
      <color theme="1"/>
      <name val="Rockwell"/>
      <family val="2"/>
      <scheme val="minor"/>
    </font>
    <font>
      <sz val="18"/>
      <color theme="3"/>
      <name val="Bookman Old Style"/>
      <family val="2"/>
      <scheme val="major"/>
    </font>
    <font>
      <b/>
      <sz val="15"/>
      <color theme="3"/>
      <name val="Rockwell"/>
      <family val="2"/>
      <scheme val="minor"/>
    </font>
    <font>
      <b/>
      <sz val="13"/>
      <color theme="3"/>
      <name val="Rockwell"/>
      <family val="2"/>
      <scheme val="minor"/>
    </font>
    <font>
      <b/>
      <sz val="11"/>
      <color theme="3"/>
      <name val="Rockwell"/>
      <family val="2"/>
      <scheme val="minor"/>
    </font>
    <font>
      <sz val="11"/>
      <color rgb="FF006100"/>
      <name val="Rockwell"/>
      <family val="2"/>
      <scheme val="minor"/>
    </font>
    <font>
      <sz val="11"/>
      <color rgb="FF9C0006"/>
      <name val="Rockwell"/>
      <family val="2"/>
      <scheme val="minor"/>
    </font>
    <font>
      <sz val="11"/>
      <color rgb="FF9C6500"/>
      <name val="Rockwell"/>
      <family val="2"/>
      <scheme val="minor"/>
    </font>
    <font>
      <sz val="11"/>
      <color rgb="FF3F3F76"/>
      <name val="Rockwell"/>
      <family val="2"/>
      <scheme val="minor"/>
    </font>
    <font>
      <b/>
      <sz val="11"/>
      <color rgb="FF3F3F3F"/>
      <name val="Rockwell"/>
      <family val="2"/>
      <scheme val="minor"/>
    </font>
    <font>
      <b/>
      <sz val="11"/>
      <color rgb="FFFA7D00"/>
      <name val="Rockwell"/>
      <family val="2"/>
      <scheme val="minor"/>
    </font>
    <font>
      <sz val="11"/>
      <color rgb="FFFA7D00"/>
      <name val="Rockwell"/>
      <family val="2"/>
      <scheme val="minor"/>
    </font>
    <font>
      <b/>
      <sz val="11"/>
      <color theme="0"/>
      <name val="Rockwell"/>
      <family val="2"/>
      <scheme val="minor"/>
    </font>
    <font>
      <sz val="11"/>
      <color rgb="FFFF0000"/>
      <name val="Rockwell"/>
      <family val="2"/>
      <scheme val="minor"/>
    </font>
    <font>
      <i/>
      <sz val="11"/>
      <color rgb="FF7F7F7F"/>
      <name val="Rockwell"/>
      <family val="2"/>
      <scheme val="minor"/>
    </font>
    <font>
      <b/>
      <sz val="11"/>
      <color theme="1"/>
      <name val="Rockwell"/>
      <family val="2"/>
      <scheme val="minor"/>
    </font>
    <font>
      <sz val="11"/>
      <color theme="0"/>
      <name val="Rockwel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3">
    <xf numFmtId="0" fontId="0" fillId="0" borderId="0" xfId="0"/>
    <xf numFmtId="14" fontId="0" fillId="0" borderId="0" xfId="0" applyNumberFormat="1"/>
    <xf numFmtId="2" fontId="0" fillId="0" borderId="0" xfId="0" applyNumberFormat="1"/>
    <xf numFmtId="0" fontId="16" fillId="0" borderId="0" xfId="0" applyFont="1"/>
    <xf numFmtId="0" fontId="0" fillId="0" borderId="10" xfId="0" applyBorder="1"/>
    <xf numFmtId="14" fontId="0" fillId="0" borderId="10" xfId="0" applyNumberFormat="1" applyBorder="1"/>
    <xf numFmtId="2" fontId="0" fillId="0" borderId="10" xfId="0" applyNumberFormat="1" applyBorder="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0" borderId="11" xfId="0" applyBorder="1"/>
    <xf numFmtId="0" fontId="0" fillId="0" borderId="12" xfId="0" applyBorder="1"/>
    <xf numFmtId="0" fontId="16" fillId="0" borderId="13" xfId="0" applyFont="1" applyBorder="1"/>
    <xf numFmtId="14" fontId="16" fillId="0" borderId="14" xfId="0" applyNumberFormat="1" applyFont="1" applyBorder="1"/>
    <xf numFmtId="0" fontId="16" fillId="0" borderId="14" xfId="0" applyFont="1" applyBorder="1"/>
    <xf numFmtId="2" fontId="16" fillId="0" borderId="14" xfId="0" applyNumberFormat="1" applyFont="1" applyBorder="1"/>
    <xf numFmtId="0" fontId="16" fillId="0" borderId="15" xfId="0" applyFont="1" applyBorder="1"/>
    <xf numFmtId="0" fontId="0" fillId="0" borderId="16" xfId="0" applyBorder="1"/>
    <xf numFmtId="14" fontId="0" fillId="0" borderId="17" xfId="0" applyNumberFormat="1" applyBorder="1"/>
    <xf numFmtId="0" fontId="0" fillId="0" borderId="17" xfId="0" applyBorder="1"/>
    <xf numFmtId="2" fontId="0" fillId="0" borderId="17" xfId="0" applyNumberFormat="1"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Rockwell"/>
        <scheme val="minor"/>
      </font>
      <numFmt numFmtId="2" formatCode="0.0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[Ecommerce_Sales_Performance Nov 2025.xlsx]Ecommerce_Sales_Performance!PivotTable3</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Ecommerce_Sales_Performance!$L$8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Ecommerce_Sales_Performance!$K$9:$K$12</c:f>
              <c:strCache>
                <c:ptCount val="3"/>
                <c:pt idx="0">
                  <c:v>Jan</c:v>
                </c:pt>
                <c:pt idx="1">
                  <c:v>Feb</c:v>
                </c:pt>
                <c:pt idx="2">
                  <c:v>Mar</c:v>
                </c:pt>
              </c:strCache>
            </c:strRef>
          </c:cat>
          <c:val>
            <c:numRef>
              <c:f>Ecommerce_Sales_Performance!$L$9:$L$12</c:f>
              <c:numCache>
                <c:formatCode>General</c:formatCode>
                <c:ptCount val="3"/>
                <c:pt idx="0">
                  <c:v>97511.89999999998</c:v>
                </c:pt>
                <c:pt idx="1">
                  <c:v>87370.93</c:v>
                </c:pt>
                <c:pt idx="2">
                  <c:v>97048.94</c:v>
                </c:pt>
              </c:numCache>
            </c:numRef>
          </c:val>
          <c:smooth val="0"/>
          <c:extLst>
            <c:ext xmlns:c16="http://schemas.microsoft.com/office/drawing/2014/chart" uri="{C3380CC4-5D6E-409C-BE32-E72D297353CC}">
              <c16:uniqueId val="{00000000-2F99-4DE8-833D-333EAA9C9BA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81876559"/>
        <c:axId val="381876975"/>
      </c:lineChart>
      <c:catAx>
        <c:axId val="38187655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81876975"/>
        <c:crosses val="autoZero"/>
        <c:auto val="1"/>
        <c:lblAlgn val="ctr"/>
        <c:lblOffset val="100"/>
        <c:noMultiLvlLbl val="0"/>
      </c:catAx>
      <c:valAx>
        <c:axId val="38187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818765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[Ecommerce_Sales_Performance Nov 2025.xlsx]Ecommerce_Sales_Performance!PivotTable4</c:name>
    <c:fmtId val="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Product Category</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Ecommerce_Sales_Performance!$L$14</c:f>
              <c:strCache>
                <c:ptCount val="1"/>
                <c:pt idx="0">
                  <c:v>Total</c:v>
                </c:pt>
              </c:strCache>
            </c:strRef>
          </c:tx>
          <c:spPr>
            <a:solidFill>
              <a:schemeClr val="accent1"/>
            </a:solidFill>
            <a:ln>
              <a:noFill/>
            </a:ln>
            <a:effectLst/>
          </c:spPr>
          <c:invertIfNegative val="0"/>
          <c:cat>
            <c:strRef>
              <c:f>Ecommerce_Sales_Performance!$K$15:$K$20</c:f>
              <c:strCache>
                <c:ptCount val="5"/>
                <c:pt idx="0">
                  <c:v>Electronics</c:v>
                </c:pt>
                <c:pt idx="1">
                  <c:v>Fashion</c:v>
                </c:pt>
                <c:pt idx="2">
                  <c:v>Home</c:v>
                </c:pt>
                <c:pt idx="3">
                  <c:v>Grocery</c:v>
                </c:pt>
                <c:pt idx="4">
                  <c:v>Sports</c:v>
                </c:pt>
              </c:strCache>
            </c:strRef>
          </c:cat>
          <c:val>
            <c:numRef>
              <c:f>Ecommerce_Sales_Performance!$L$15:$L$20</c:f>
              <c:numCache>
                <c:formatCode>General</c:formatCode>
                <c:ptCount val="5"/>
                <c:pt idx="0">
                  <c:v>68477.41</c:v>
                </c:pt>
                <c:pt idx="1">
                  <c:v>57189.46</c:v>
                </c:pt>
                <c:pt idx="2">
                  <c:v>56621.389999999992</c:v>
                </c:pt>
                <c:pt idx="3">
                  <c:v>54502.34</c:v>
                </c:pt>
                <c:pt idx="4">
                  <c:v>45141.17</c:v>
                </c:pt>
              </c:numCache>
            </c:numRef>
          </c:val>
          <c:extLst>
            <c:ext xmlns:c16="http://schemas.microsoft.com/office/drawing/2014/chart" uri="{C3380CC4-5D6E-409C-BE32-E72D297353CC}">
              <c16:uniqueId val="{00000000-E2C7-40E1-B054-A6B99E0921B9}"/>
            </c:ext>
          </c:extLst>
        </c:ser>
        <c:dLbls>
          <c:showLegendKey val="0"/>
          <c:showVal val="0"/>
          <c:showCatName val="0"/>
          <c:showSerName val="0"/>
          <c:showPercent val="0"/>
          <c:showBubbleSize val="0"/>
        </c:dLbls>
        <c:gapWidth val="199"/>
        <c:axId val="385937775"/>
        <c:axId val="385942767"/>
      </c:barChart>
      <c:catAx>
        <c:axId val="38593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85942767"/>
        <c:crosses val="autoZero"/>
        <c:auto val="1"/>
        <c:lblAlgn val="ctr"/>
        <c:lblOffset val="100"/>
        <c:noMultiLvlLbl val="0"/>
      </c:catAx>
      <c:valAx>
        <c:axId val="3859427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377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[Ecommerce_Sales_Performance Nov 2025.xlsx]Ecommerce_Sales_Performance!PivotTable5</c:name>
    <c:fmtId val="2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Customers by Total Sales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Ecommerce_Sales_Performance!$L$22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Ecommerce_Sales_Performance!$K$23:$K$33</c:f>
              <c:strCache>
                <c:ptCount val="10"/>
                <c:pt idx="0">
                  <c:v>C1044</c:v>
                </c:pt>
                <c:pt idx="1">
                  <c:v>C1039</c:v>
                </c:pt>
                <c:pt idx="2">
                  <c:v>C1045</c:v>
                </c:pt>
                <c:pt idx="3">
                  <c:v>C1047</c:v>
                </c:pt>
                <c:pt idx="4">
                  <c:v>C1043</c:v>
                </c:pt>
                <c:pt idx="5">
                  <c:v>C1049</c:v>
                </c:pt>
                <c:pt idx="6">
                  <c:v>C1006</c:v>
                </c:pt>
                <c:pt idx="7">
                  <c:v>C1048</c:v>
                </c:pt>
                <c:pt idx="8">
                  <c:v>C1010</c:v>
                </c:pt>
                <c:pt idx="9">
                  <c:v>C1034</c:v>
                </c:pt>
              </c:strCache>
            </c:strRef>
          </c:cat>
          <c:val>
            <c:numRef>
              <c:f>Ecommerce_Sales_Performance!$L$23:$L$33</c:f>
              <c:numCache>
                <c:formatCode>General</c:formatCode>
                <c:ptCount val="10"/>
                <c:pt idx="0">
                  <c:v>23608.440000000002</c:v>
                </c:pt>
                <c:pt idx="1">
                  <c:v>17011.16</c:v>
                </c:pt>
                <c:pt idx="2">
                  <c:v>16825.89</c:v>
                </c:pt>
                <c:pt idx="3">
                  <c:v>16812.04</c:v>
                </c:pt>
                <c:pt idx="4">
                  <c:v>16203.890000000001</c:v>
                </c:pt>
                <c:pt idx="5">
                  <c:v>14972.13</c:v>
                </c:pt>
                <c:pt idx="6">
                  <c:v>11452.130000000001</c:v>
                </c:pt>
                <c:pt idx="7">
                  <c:v>10010.67</c:v>
                </c:pt>
                <c:pt idx="8">
                  <c:v>9917.76</c:v>
                </c:pt>
                <c:pt idx="9">
                  <c:v>9683.2900000000009</c:v>
                </c:pt>
              </c:numCache>
            </c:numRef>
          </c:val>
          <c:extLst>
            <c:ext xmlns:c16="http://schemas.microsoft.com/office/drawing/2014/chart" uri="{C3380CC4-5D6E-409C-BE32-E72D297353CC}">
              <c16:uniqueId val="{00000000-68B2-439C-8FDC-4E6CA582E168}"/>
            </c:ext>
          </c:extLst>
        </c:ser>
        <c:dLbls>
          <c:dLblPos val="inEnd"/>
          <c:showLegendKey val="0"/>
          <c:showVal val="1"/>
          <c:showCatName val="0"/>
          <c:showSerName val="0"/>
          <c:showPercent val="0"/>
          <c:showBubbleSize val="0"/>
        </c:dLbls>
        <c:gapWidth val="65"/>
        <c:axId val="982110032"/>
        <c:axId val="982112944"/>
      </c:barChart>
      <c:catAx>
        <c:axId val="9821100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2112944"/>
        <c:crosses val="autoZero"/>
        <c:auto val="1"/>
        <c:lblAlgn val="ctr"/>
        <c:lblOffset val="100"/>
        <c:noMultiLvlLbl val="0"/>
      </c:catAx>
      <c:valAx>
        <c:axId val="9821129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211003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[Ecommerce_Sales_Performance Nov 2025.xlsx]Ecommerce_Sales_Performance!PivotTable6</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Payment Method</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Ecommerce_Sales_Performance!$L$35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068-46C1-A6CE-D3B402BEFA3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068-46C1-A6CE-D3B402BEFA3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068-46C1-A6CE-D3B402BEFA3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068-46C1-A6CE-D3B402BEFA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Ecommerce_Sales_Performance!$K$36:$K$40</c:f>
              <c:strCache>
                <c:ptCount val="4"/>
                <c:pt idx="0">
                  <c:v>Credit Card</c:v>
                </c:pt>
                <c:pt idx="1">
                  <c:v>COD</c:v>
                </c:pt>
                <c:pt idx="2">
                  <c:v>Debit Card</c:v>
                </c:pt>
                <c:pt idx="3">
                  <c:v>UPI</c:v>
                </c:pt>
              </c:strCache>
            </c:strRef>
          </c:cat>
          <c:val>
            <c:numRef>
              <c:f>Ecommerce_Sales_Performance!$L$36:$L$40</c:f>
              <c:numCache>
                <c:formatCode>General</c:formatCode>
                <c:ptCount val="4"/>
                <c:pt idx="0">
                  <c:v>99378.989999999976</c:v>
                </c:pt>
                <c:pt idx="1">
                  <c:v>88047.560000000012</c:v>
                </c:pt>
                <c:pt idx="2">
                  <c:v>53230.34</c:v>
                </c:pt>
                <c:pt idx="3">
                  <c:v>41274.879999999997</c:v>
                </c:pt>
              </c:numCache>
            </c:numRef>
          </c:val>
          <c:extLst>
            <c:ext xmlns:c16="http://schemas.microsoft.com/office/drawing/2014/chart" uri="{C3380CC4-5D6E-409C-BE32-E72D297353CC}">
              <c16:uniqueId val="{00000000-FB3F-47A3-A9E0-60C8DBFDA5B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[Ecommerce_Sales_Performance Nov 2025.xlsx]Ecommerce_Sales_Performance!PivotTable1</c:name>
    <c:fmtId val="2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Ecommerce_Sales_Performance!$L$1</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delete val="1"/>
          </c:dLbls>
          <c:cat>
            <c:strRef>
              <c:f>Ecommerce_Sales_Performance!$K$2:$K$6</c:f>
              <c:strCache>
                <c:ptCount val="4"/>
                <c:pt idx="0">
                  <c:v>South</c:v>
                </c:pt>
                <c:pt idx="1">
                  <c:v>East</c:v>
                </c:pt>
                <c:pt idx="2">
                  <c:v>North</c:v>
                </c:pt>
                <c:pt idx="3">
                  <c:v>West</c:v>
                </c:pt>
              </c:strCache>
            </c:strRef>
          </c:cat>
          <c:val>
            <c:numRef>
              <c:f>Ecommerce_Sales_Performance!$L$2:$L$6</c:f>
              <c:numCache>
                <c:formatCode>General</c:formatCode>
                <c:ptCount val="4"/>
                <c:pt idx="0">
                  <c:v>87711.530000000013</c:v>
                </c:pt>
                <c:pt idx="1">
                  <c:v>70976.98</c:v>
                </c:pt>
                <c:pt idx="2">
                  <c:v>67105.31</c:v>
                </c:pt>
                <c:pt idx="3">
                  <c:v>56137.94999999999</c:v>
                </c:pt>
              </c:numCache>
            </c:numRef>
          </c:val>
          <c:extLst>
            <c:ext xmlns:c16="http://schemas.microsoft.com/office/drawing/2014/chart" uri="{C3380CC4-5D6E-409C-BE32-E72D297353CC}">
              <c16:uniqueId val="{00000000-1E86-46E9-AD74-DCF7975A9CE7}"/>
            </c:ext>
          </c:extLst>
        </c:ser>
        <c:dLbls>
          <c:showLegendKey val="0"/>
          <c:showVal val="1"/>
          <c:showCatName val="0"/>
          <c:showSerName val="0"/>
          <c:showPercent val="0"/>
          <c:showBubbleSize val="0"/>
        </c:dLbls>
        <c:gapWidth val="150"/>
        <c:gapDepth val="0"/>
        <c:shape val="box"/>
        <c:axId val="185100991"/>
        <c:axId val="185104735"/>
        <c:axId val="0"/>
      </c:bar3DChart>
      <c:catAx>
        <c:axId val="185100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04735"/>
        <c:crosses val="autoZero"/>
        <c:auto val="1"/>
        <c:lblAlgn val="ctr"/>
        <c:lblOffset val="100"/>
        <c:noMultiLvlLbl val="0"/>
      </c:catAx>
      <c:valAx>
        <c:axId val="18510473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009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[Ecommerce_Sales_Performance Nov 2025.xlsx]Ecommerce_Sales_Performance!PivotTable3</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Ecommerce_Sales_Performance!$L$8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Ecommerce_Sales_Performance!$K$9:$K$12</c:f>
              <c:strCache>
                <c:ptCount val="3"/>
                <c:pt idx="0">
                  <c:v>Jan</c:v>
                </c:pt>
                <c:pt idx="1">
                  <c:v>Feb</c:v>
                </c:pt>
                <c:pt idx="2">
                  <c:v>Mar</c:v>
                </c:pt>
              </c:strCache>
            </c:strRef>
          </c:cat>
          <c:val>
            <c:numRef>
              <c:f>Ecommerce_Sales_Performance!$L$9:$L$12</c:f>
              <c:numCache>
                <c:formatCode>General</c:formatCode>
                <c:ptCount val="3"/>
                <c:pt idx="0">
                  <c:v>97511.89999999998</c:v>
                </c:pt>
                <c:pt idx="1">
                  <c:v>87370.93</c:v>
                </c:pt>
                <c:pt idx="2">
                  <c:v>97048.94</c:v>
                </c:pt>
              </c:numCache>
            </c:numRef>
          </c:val>
          <c:smooth val="0"/>
          <c:extLst>
            <c:ext xmlns:c16="http://schemas.microsoft.com/office/drawing/2014/chart" uri="{C3380CC4-5D6E-409C-BE32-E72D297353CC}">
              <c16:uniqueId val="{00000000-E790-4A67-9A99-CFD66BFD642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81876559"/>
        <c:axId val="381876975"/>
      </c:lineChart>
      <c:catAx>
        <c:axId val="38187655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81876975"/>
        <c:crosses val="autoZero"/>
        <c:auto val="1"/>
        <c:lblAlgn val="ctr"/>
        <c:lblOffset val="100"/>
        <c:noMultiLvlLbl val="0"/>
      </c:catAx>
      <c:valAx>
        <c:axId val="381876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818765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[Ecommerce_Sales_Performance Nov 2025.xlsx]Ecommerce_Sales_Performance!PivotTable4</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Product Category</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Ecommerce_Sales_Performance!$L$14</c:f>
              <c:strCache>
                <c:ptCount val="1"/>
                <c:pt idx="0">
                  <c:v>Total</c:v>
                </c:pt>
              </c:strCache>
            </c:strRef>
          </c:tx>
          <c:spPr>
            <a:solidFill>
              <a:schemeClr val="accent1"/>
            </a:solidFill>
            <a:ln>
              <a:noFill/>
            </a:ln>
            <a:effectLst/>
          </c:spPr>
          <c:invertIfNegative val="0"/>
          <c:cat>
            <c:strRef>
              <c:f>Ecommerce_Sales_Performance!$K$15:$K$20</c:f>
              <c:strCache>
                <c:ptCount val="5"/>
                <c:pt idx="0">
                  <c:v>Electronics</c:v>
                </c:pt>
                <c:pt idx="1">
                  <c:v>Fashion</c:v>
                </c:pt>
                <c:pt idx="2">
                  <c:v>Home</c:v>
                </c:pt>
                <c:pt idx="3">
                  <c:v>Grocery</c:v>
                </c:pt>
                <c:pt idx="4">
                  <c:v>Sports</c:v>
                </c:pt>
              </c:strCache>
            </c:strRef>
          </c:cat>
          <c:val>
            <c:numRef>
              <c:f>Ecommerce_Sales_Performance!$L$15:$L$20</c:f>
              <c:numCache>
                <c:formatCode>General</c:formatCode>
                <c:ptCount val="5"/>
                <c:pt idx="0">
                  <c:v>68477.41</c:v>
                </c:pt>
                <c:pt idx="1">
                  <c:v>57189.46</c:v>
                </c:pt>
                <c:pt idx="2">
                  <c:v>56621.389999999992</c:v>
                </c:pt>
                <c:pt idx="3">
                  <c:v>54502.34</c:v>
                </c:pt>
                <c:pt idx="4">
                  <c:v>45141.17</c:v>
                </c:pt>
              </c:numCache>
            </c:numRef>
          </c:val>
          <c:extLst>
            <c:ext xmlns:c16="http://schemas.microsoft.com/office/drawing/2014/chart" uri="{C3380CC4-5D6E-409C-BE32-E72D297353CC}">
              <c16:uniqueId val="{00000000-141E-47B1-9298-3349F0730F47}"/>
            </c:ext>
          </c:extLst>
        </c:ser>
        <c:dLbls>
          <c:showLegendKey val="0"/>
          <c:showVal val="0"/>
          <c:showCatName val="0"/>
          <c:showSerName val="0"/>
          <c:showPercent val="0"/>
          <c:showBubbleSize val="0"/>
        </c:dLbls>
        <c:gapWidth val="199"/>
        <c:axId val="385937775"/>
        <c:axId val="385942767"/>
      </c:barChart>
      <c:catAx>
        <c:axId val="38593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85942767"/>
        <c:crosses val="autoZero"/>
        <c:auto val="1"/>
        <c:lblAlgn val="ctr"/>
        <c:lblOffset val="100"/>
        <c:noMultiLvlLbl val="0"/>
      </c:catAx>
      <c:valAx>
        <c:axId val="3859427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377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[Ecommerce_Sales_Performance Nov 2025.xlsx]Ecommerce_Sales_Performance!PivotTable5</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Customers by Total Sales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Ecommerce_Sales_Performance!$L$22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Ecommerce_Sales_Performance!$K$23:$K$33</c:f>
              <c:strCache>
                <c:ptCount val="10"/>
                <c:pt idx="0">
                  <c:v>C1044</c:v>
                </c:pt>
                <c:pt idx="1">
                  <c:v>C1039</c:v>
                </c:pt>
                <c:pt idx="2">
                  <c:v>C1045</c:v>
                </c:pt>
                <c:pt idx="3">
                  <c:v>C1047</c:v>
                </c:pt>
                <c:pt idx="4">
                  <c:v>C1043</c:v>
                </c:pt>
                <c:pt idx="5">
                  <c:v>C1049</c:v>
                </c:pt>
                <c:pt idx="6">
                  <c:v>C1006</c:v>
                </c:pt>
                <c:pt idx="7">
                  <c:v>C1048</c:v>
                </c:pt>
                <c:pt idx="8">
                  <c:v>C1010</c:v>
                </c:pt>
                <c:pt idx="9">
                  <c:v>C1034</c:v>
                </c:pt>
              </c:strCache>
            </c:strRef>
          </c:cat>
          <c:val>
            <c:numRef>
              <c:f>Ecommerce_Sales_Performance!$L$23:$L$33</c:f>
              <c:numCache>
                <c:formatCode>General</c:formatCode>
                <c:ptCount val="10"/>
                <c:pt idx="0">
                  <c:v>23608.440000000002</c:v>
                </c:pt>
                <c:pt idx="1">
                  <c:v>17011.16</c:v>
                </c:pt>
                <c:pt idx="2">
                  <c:v>16825.89</c:v>
                </c:pt>
                <c:pt idx="3">
                  <c:v>16812.04</c:v>
                </c:pt>
                <c:pt idx="4">
                  <c:v>16203.890000000001</c:v>
                </c:pt>
                <c:pt idx="5">
                  <c:v>14972.13</c:v>
                </c:pt>
                <c:pt idx="6">
                  <c:v>11452.130000000001</c:v>
                </c:pt>
                <c:pt idx="7">
                  <c:v>10010.67</c:v>
                </c:pt>
                <c:pt idx="8">
                  <c:v>9917.76</c:v>
                </c:pt>
                <c:pt idx="9">
                  <c:v>9683.2900000000009</c:v>
                </c:pt>
              </c:numCache>
            </c:numRef>
          </c:val>
          <c:extLst>
            <c:ext xmlns:c16="http://schemas.microsoft.com/office/drawing/2014/chart" uri="{C3380CC4-5D6E-409C-BE32-E72D297353CC}">
              <c16:uniqueId val="{00000000-7B03-435B-A78F-4F8AE55931C3}"/>
            </c:ext>
          </c:extLst>
        </c:ser>
        <c:dLbls>
          <c:dLblPos val="inEnd"/>
          <c:showLegendKey val="0"/>
          <c:showVal val="1"/>
          <c:showCatName val="0"/>
          <c:showSerName val="0"/>
          <c:showPercent val="0"/>
          <c:showBubbleSize val="0"/>
        </c:dLbls>
        <c:gapWidth val="65"/>
        <c:axId val="982110032"/>
        <c:axId val="982112944"/>
      </c:barChart>
      <c:catAx>
        <c:axId val="9821100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2112944"/>
        <c:crosses val="autoZero"/>
        <c:auto val="1"/>
        <c:lblAlgn val="ctr"/>
        <c:lblOffset val="100"/>
        <c:noMultiLvlLbl val="0"/>
      </c:catAx>
      <c:valAx>
        <c:axId val="9821129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211003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[Ecommerce_Sales_Performance Nov 2025.xlsx]Ecommerce_Sales_Performance!PivotTable6</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Payment Method</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Ecommerce_Sales_Performance!$L$35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E6B-4482-A432-5EF02BA7EDE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E6B-4482-A432-5EF02BA7EDE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E6B-4482-A432-5EF02BA7EDE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E6B-4482-A432-5EF02BA7EDE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Ecommerce_Sales_Performance!$K$36:$K$40</c:f>
              <c:strCache>
                <c:ptCount val="4"/>
                <c:pt idx="0">
                  <c:v>Credit Card</c:v>
                </c:pt>
                <c:pt idx="1">
                  <c:v>COD</c:v>
                </c:pt>
                <c:pt idx="2">
                  <c:v>Debit Card</c:v>
                </c:pt>
                <c:pt idx="3">
                  <c:v>UPI</c:v>
                </c:pt>
              </c:strCache>
            </c:strRef>
          </c:cat>
          <c:val>
            <c:numRef>
              <c:f>Ecommerce_Sales_Performance!$L$36:$L$40</c:f>
              <c:numCache>
                <c:formatCode>General</c:formatCode>
                <c:ptCount val="4"/>
                <c:pt idx="0">
                  <c:v>99378.989999999976</c:v>
                </c:pt>
                <c:pt idx="1">
                  <c:v>88047.560000000012</c:v>
                </c:pt>
                <c:pt idx="2">
                  <c:v>53230.34</c:v>
                </c:pt>
                <c:pt idx="3">
                  <c:v>41274.879999999997</c:v>
                </c:pt>
              </c:numCache>
            </c:numRef>
          </c:val>
          <c:extLst>
            <c:ext xmlns:c16="http://schemas.microsoft.com/office/drawing/2014/chart" uri="{C3380CC4-5D6E-409C-BE32-E72D297353CC}">
              <c16:uniqueId val="{00000008-AE6B-4482-A432-5EF02BA7EDE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3594001071237281"/>
          <c:y val="0.27294077370763442"/>
          <c:w val="0.2512051419389395"/>
          <c:h val="0.6146377952755905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[Ecommerce_Sales_Performance Nov 2025.xlsx]Ecommerce_Sales_Performance!PivotTable1</c:name>
    <c:fmtId val="2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ymbol val="none"/>
        </c:marker>
      </c:pivotFmt>
      <c:pivotFmt>
        <c:idx val="3"/>
        <c:spPr>
          <a:gradFill>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Ecommerce_Sales_Performance!$L$1</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delete val="1"/>
          </c:dLbls>
          <c:cat>
            <c:strRef>
              <c:f>Ecommerce_Sales_Performance!$K$2:$K$6</c:f>
              <c:strCache>
                <c:ptCount val="4"/>
                <c:pt idx="0">
                  <c:v>South</c:v>
                </c:pt>
                <c:pt idx="1">
                  <c:v>East</c:v>
                </c:pt>
                <c:pt idx="2">
                  <c:v>North</c:v>
                </c:pt>
                <c:pt idx="3">
                  <c:v>West</c:v>
                </c:pt>
              </c:strCache>
            </c:strRef>
          </c:cat>
          <c:val>
            <c:numRef>
              <c:f>Ecommerce_Sales_Performance!$L$2:$L$6</c:f>
              <c:numCache>
                <c:formatCode>General</c:formatCode>
                <c:ptCount val="4"/>
                <c:pt idx="0">
                  <c:v>87711.530000000013</c:v>
                </c:pt>
                <c:pt idx="1">
                  <c:v>70976.98</c:v>
                </c:pt>
                <c:pt idx="2">
                  <c:v>67105.31</c:v>
                </c:pt>
                <c:pt idx="3">
                  <c:v>56137.94999999999</c:v>
                </c:pt>
              </c:numCache>
            </c:numRef>
          </c:val>
          <c:extLst>
            <c:ext xmlns:c16="http://schemas.microsoft.com/office/drawing/2014/chart" uri="{C3380CC4-5D6E-409C-BE32-E72D297353CC}">
              <c16:uniqueId val="{00000000-63BF-45AF-9D55-A063477AE9F9}"/>
            </c:ext>
          </c:extLst>
        </c:ser>
        <c:dLbls>
          <c:showLegendKey val="0"/>
          <c:showVal val="1"/>
          <c:showCatName val="0"/>
          <c:showSerName val="0"/>
          <c:showPercent val="0"/>
          <c:showBubbleSize val="0"/>
        </c:dLbls>
        <c:gapWidth val="150"/>
        <c:gapDepth val="0"/>
        <c:shape val="box"/>
        <c:axId val="185100991"/>
        <c:axId val="185104735"/>
        <c:axId val="0"/>
      </c:bar3DChart>
      <c:catAx>
        <c:axId val="185100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04735"/>
        <c:crosses val="autoZero"/>
        <c:auto val="1"/>
        <c:lblAlgn val="ctr"/>
        <c:lblOffset val="100"/>
        <c:noMultiLvlLbl val="0"/>
      </c:catAx>
      <c:valAx>
        <c:axId val="18510473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51009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38100</xdr:colOff>
      <xdr:row>0</xdr:row>
      <xdr:rowOff>66676</xdr:rowOff>
    </xdr:from>
    <xdr:to>
      <xdr:col>20</xdr:col>
      <xdr:colOff>190500</xdr:colOff>
      <xdr:row>12</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14</xdr:row>
      <xdr:rowOff>142875</xdr:rowOff>
    </xdr:from>
    <xdr:to>
      <xdr:col>16</xdr:col>
      <xdr:colOff>0</xdr:colOff>
      <xdr:row>29</xdr:row>
      <xdr:rowOff>66674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228600</xdr:colOff>
      <xdr:row>14</xdr:row>
      <xdr:rowOff>57148</xdr:rowOff>
    </xdr:from>
    <xdr:to>
      <xdr:col>22</xdr:col>
      <xdr:colOff>666750</xdr:colOff>
      <xdr:row>29</xdr:row>
      <xdr:rowOff>19049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295275</xdr:colOff>
      <xdr:row>30</xdr:row>
      <xdr:rowOff>19050</xdr:rowOff>
    </xdr:from>
    <xdr:to>
      <xdr:col>18</xdr:col>
      <xdr:colOff>542925</xdr:colOff>
      <xdr:row>42</xdr:row>
      <xdr:rowOff>38100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38101</xdr:colOff>
      <xdr:row>0</xdr:row>
      <xdr:rowOff>0</xdr:rowOff>
    </xdr:from>
    <xdr:to>
      <xdr:col>13</xdr:col>
      <xdr:colOff>1123951</xdr:colOff>
      <xdr:row>14</xdr:row>
      <xdr:rowOff>85726</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222250</xdr:colOff>
      <xdr:row>41</xdr:row>
      <xdr:rowOff>63500</xdr:rowOff>
    </xdr:to>
    <xdr:sp macro="" textlink="">
      <xdr:nvSpPr>
        <xdr:cNvPr id="11" name="Rectangle 10"/>
        <xdr:cNvSpPr/>
      </xdr:nvSpPr>
      <xdr:spPr>
        <a:xfrm>
          <a:off x="0" y="0"/>
          <a:ext cx="22320250" cy="722312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tx2"/>
              </a:solidFill>
            </a:rPr>
            <a:t>E-Commerce</a:t>
          </a:r>
          <a:r>
            <a:rPr lang="en-US" sz="3200" b="1" baseline="0">
              <a:solidFill>
                <a:schemeClr val="tx2"/>
              </a:solidFill>
            </a:rPr>
            <a:t> Sales Performance Dashboard (Jan-Mar 2025)</a:t>
          </a:r>
          <a:endParaRPr lang="en-US" sz="3200" b="1">
            <a:solidFill>
              <a:schemeClr val="tx2"/>
            </a:solidFill>
          </a:endParaRPr>
        </a:p>
      </xdr:txBody>
    </xdr:sp>
    <xdr:clientData/>
  </xdr:twoCellAnchor>
  <xdr:twoCellAnchor>
    <xdr:from>
      <xdr:col>9</xdr:col>
      <xdr:colOff>28575</xdr:colOff>
      <xdr:row>5</xdr:row>
      <xdr:rowOff>22225</xdr:rowOff>
    </xdr:from>
    <xdr:to>
      <xdr:col>19</xdr:col>
      <xdr:colOff>15875</xdr:colOff>
      <xdr:row>20</xdr:row>
      <xdr:rowOff>111125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650875</xdr:colOff>
      <xdr:row>22</xdr:row>
      <xdr:rowOff>47625</xdr:rowOff>
    </xdr:from>
    <xdr:to>
      <xdr:col>19</xdr:col>
      <xdr:colOff>126999</xdr:colOff>
      <xdr:row>41</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127000</xdr:colOff>
      <xdr:row>22</xdr:row>
      <xdr:rowOff>15875</xdr:rowOff>
    </xdr:from>
    <xdr:to>
      <xdr:col>8</xdr:col>
      <xdr:colOff>254000</xdr:colOff>
      <xdr:row>39</xdr:row>
      <xdr:rowOff>158751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327026</xdr:colOff>
      <xdr:row>5</xdr:row>
      <xdr:rowOff>31749</xdr:rowOff>
    </xdr:from>
    <xdr:to>
      <xdr:col>26</xdr:col>
      <xdr:colOff>254001</xdr:colOff>
      <xdr:row>20</xdr:row>
      <xdr:rowOff>47623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xdr:row>
      <xdr:rowOff>158750</xdr:rowOff>
    </xdr:from>
    <xdr:to>
      <xdr:col>8</xdr:col>
      <xdr:colOff>349250</xdr:colOff>
      <xdr:row>21</xdr:row>
      <xdr:rowOff>73025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549275</xdr:colOff>
      <xdr:row>25</xdr:row>
      <xdr:rowOff>19050</xdr:rowOff>
    </xdr:from>
    <xdr:to>
      <xdr:col>22</xdr:col>
      <xdr:colOff>311150</xdr:colOff>
      <xdr:row>39</xdr:row>
      <xdr:rowOff>98425</xdr:rowOff>
    </xdr:to>
    <mc:AlternateContent xmlns:mc="http://schemas.openxmlformats.org/markup-compatibility/2006" xmlns:a14="http://schemas.microsoft.com/office/drawing/2010/main">
      <mc:Choice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455775" y="4384675"/>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384175</xdr:colOff>
      <xdr:row>25</xdr:row>
      <xdr:rowOff>19050</xdr:rowOff>
    </xdr:from>
    <xdr:to>
      <xdr:col>25</xdr:col>
      <xdr:colOff>146050</xdr:colOff>
      <xdr:row>39</xdr:row>
      <xdr:rowOff>98425</xdr:rowOff>
    </xdr:to>
    <mc:AlternateContent xmlns:mc="http://schemas.openxmlformats.org/markup-compatibility/2006" xmlns:a14="http://schemas.microsoft.com/office/drawing/2010/main">
      <mc:Choice Requires="a14">
        <xdr:graphicFrame macro="">
          <xdr:nvGraphicFramePr>
            <xdr:cNvPr id="9" name="ProductCategory"/>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6338550" y="4384675"/>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250825</xdr:colOff>
      <xdr:row>25</xdr:row>
      <xdr:rowOff>3175</xdr:rowOff>
    </xdr:from>
    <xdr:to>
      <xdr:col>28</xdr:col>
      <xdr:colOff>12700</xdr:colOff>
      <xdr:row>39</xdr:row>
      <xdr:rowOff>82550</xdr:rowOff>
    </xdr:to>
    <mc:AlternateContent xmlns:mc="http://schemas.openxmlformats.org/markup-compatibility/2006" xmlns:a14="http://schemas.microsoft.com/office/drawing/2010/main">
      <mc:Choice Requires="a14">
        <xdr:graphicFrame macro="">
          <xdr:nvGraphicFramePr>
            <xdr:cNvPr id="10"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8253075" y="4368800"/>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523875</xdr:colOff>
      <xdr:row>39</xdr:row>
      <xdr:rowOff>127000</xdr:rowOff>
    </xdr:from>
    <xdr:ext cx="5370253" cy="393506"/>
    <xdr:sp macro="" textlink="">
      <xdr:nvSpPr>
        <xdr:cNvPr id="2" name="TextBox 1"/>
        <xdr:cNvSpPr txBox="1"/>
      </xdr:nvSpPr>
      <xdr:spPr>
        <a:xfrm>
          <a:off x="14430375" y="6937375"/>
          <a:ext cx="5370253" cy="39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tx1"/>
              </a:solidFill>
            </a:rPr>
            <a:t>Dashboard by Pankaj Patil - Data Analyst</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965.477861921296" createdVersion="6" refreshedVersion="6" minRefreshableVersion="3" recordCount="100">
  <cacheSource type="worksheet">
    <worksheetSource ref="A1:J101" sheet="Ecommerce_Sales_Performance"/>
  </cacheSource>
  <cacheFields count="10">
    <cacheField name="Order ID" numFmtId="0">
      <sharedItems/>
    </cacheField>
    <cacheField name="Order Date" numFmtId="14">
      <sharedItems containsSemiMixedTypes="0" containsNonDate="0" containsDate="1" containsString="0" minDate="2025-01-02T00:00:00" maxDate="2025-04-01T00:00:00" count="60">
        <d v="2025-02-03T00:00:00"/>
        <d v="2025-02-25T00:00:00"/>
        <d v="2025-03-26T00:00:00"/>
        <d v="2025-01-14T00:00:00"/>
        <d v="2025-03-19T00:00:00"/>
        <d v="2025-01-20T00:00:00"/>
        <d v="2025-03-02T00:00:00"/>
        <d v="2025-01-09T00:00:00"/>
        <d v="2025-03-13T00:00:00"/>
        <d v="2025-01-26T00:00:00"/>
        <d v="2025-03-24T00:00:00"/>
        <d v="2025-03-16T00:00:00"/>
        <d v="2025-03-14T00:00:00"/>
        <d v="2025-01-31T00:00:00"/>
        <d v="2025-03-07T00:00:00"/>
        <d v="2025-02-01T00:00:00"/>
        <d v="2025-03-23T00:00:00"/>
        <d v="2025-02-20T00:00:00"/>
        <d v="2025-01-19T00:00:00"/>
        <d v="2025-02-16T00:00:00"/>
        <d v="2025-01-17T00:00:00"/>
        <d v="2025-02-08T00:00:00"/>
        <d v="2025-01-06T00:00:00"/>
        <d v="2025-02-12T00:00:00"/>
        <d v="2025-01-13T00:00:00"/>
        <d v="2025-01-29T00:00:00"/>
        <d v="2025-01-24T00:00:00"/>
        <d v="2025-03-06T00:00:00"/>
        <d v="2025-01-27T00:00:00"/>
        <d v="2025-03-15T00:00:00"/>
        <d v="2025-03-31T00:00:00"/>
        <d v="2025-02-19T00:00:00"/>
        <d v="2025-03-11T00:00:00"/>
        <d v="2025-01-04T00:00:00"/>
        <d v="2025-01-08T00:00:00"/>
        <d v="2025-03-30T00:00:00"/>
        <d v="2025-02-21T00:00:00"/>
        <d v="2025-01-23T00:00:00"/>
        <d v="2025-01-07T00:00:00"/>
        <d v="2025-02-10T00:00:00"/>
        <d v="2025-01-11T00:00:00"/>
        <d v="2025-03-17T00:00:00"/>
        <d v="2025-02-15T00:00:00"/>
        <d v="2025-01-25T00:00:00"/>
        <d v="2025-03-18T00:00:00"/>
        <d v="2025-02-14T00:00:00"/>
        <d v="2025-02-11T00:00:00"/>
        <d v="2025-03-03T00:00:00"/>
        <d v="2025-01-16T00:00:00"/>
        <d v="2025-01-22T00:00:00"/>
        <d v="2025-03-29T00:00:00"/>
        <d v="2025-03-01T00:00:00"/>
        <d v="2025-03-09T00:00:00"/>
        <d v="2025-03-20T00:00:00"/>
        <d v="2025-01-15T00:00:00"/>
        <d v="2025-01-30T00:00:00"/>
        <d v="2025-02-26T00:00:00"/>
        <d v="2025-01-02T00:00:00"/>
        <d v="2025-02-05T00:00:00"/>
        <d v="2025-01-03T00:00:00"/>
      </sharedItems>
      <fieldGroup base="1">
        <rangePr groupBy="months" startDate="2025-01-02T00:00:00" endDate="2025-04-01T00:00:00"/>
        <groupItems count="14">
          <s v="&lt;1/2/2025"/>
          <s v="Jan"/>
          <s v="Feb"/>
          <s v="Mar"/>
          <s v="Apr"/>
          <s v="May"/>
          <s v="Jun"/>
          <s v="Jul"/>
          <s v="Aug"/>
          <s v="Sep"/>
          <s v="Oct"/>
          <s v="Nov"/>
          <s v="Dec"/>
          <s v="&gt;4/1/2025"/>
        </groupItems>
      </fieldGroup>
    </cacheField>
    <cacheField name="CustomerID" numFmtId="0">
      <sharedItems count="44">
        <s v="C1032"/>
        <s v="C1009"/>
        <s v="C1045"/>
        <s v="C1031"/>
        <s v="C1030"/>
        <s v="C1046"/>
        <s v="C1022"/>
        <s v="C1006"/>
        <s v="C1040"/>
        <s v="C1047"/>
        <s v="C1036"/>
        <s v="C1023"/>
        <s v="C1017"/>
        <s v="C1021"/>
        <s v="C1048"/>
        <s v="C1016"/>
        <s v="C1041"/>
        <s v="C1050"/>
        <s v="C1027"/>
        <s v="C1005"/>
        <s v="C1044"/>
        <s v="C1043"/>
        <s v="C1001"/>
        <s v="C1007"/>
        <s v="C1002"/>
        <s v="C1035"/>
        <s v="C1039"/>
        <s v="C1003"/>
        <s v="C1010"/>
        <s v="C1042"/>
        <s v="C1025"/>
        <s v="C1011"/>
        <s v="C1034"/>
        <s v="C1049"/>
        <s v="C1026"/>
        <s v="C1028"/>
        <s v="C1004"/>
        <s v="C1018"/>
        <s v="C1037"/>
        <s v="C1038"/>
        <s v="C1020"/>
        <s v="C1033"/>
        <s v="C1024"/>
        <s v="C1015"/>
      </sharedItems>
    </cacheField>
    <cacheField name="Region" numFmtId="0">
      <sharedItems count="4">
        <s v="North"/>
        <s v="East"/>
        <s v="South"/>
        <s v="West"/>
      </sharedItems>
    </cacheField>
    <cacheField name="ProductCategory" numFmtId="0">
      <sharedItems count="5">
        <s v="Grocery"/>
        <s v="Electronics"/>
        <s v="Home"/>
        <s v="Sports"/>
        <s v="Fashion"/>
      </sharedItems>
    </cacheField>
    <cacheField name="Product Name" numFmtId="0">
      <sharedItems/>
    </cacheField>
    <cacheField name="Quantity" numFmtId="2">
      <sharedItems containsSemiMixedTypes="0" containsString="0" containsNumber="1" containsInteger="1" minValue="1" maxValue="5"/>
    </cacheField>
    <cacheField name="Unit Price" numFmtId="2">
      <sharedItems containsSemiMixedTypes="0" containsString="0" containsNumber="1" minValue="106.18" maxValue="1996.22"/>
    </cacheField>
    <cacheField name="Total Sales" numFmtId="2">
      <sharedItems containsSemiMixedTypes="0" containsString="0" containsNumber="1" minValue="143.85" maxValue="9849.4500000000007"/>
    </cacheField>
    <cacheField name="Payment Method" numFmtId="0">
      <sharedItems count="4">
        <s v="UPI"/>
        <s v="Credit Card"/>
        <s v="Debit Card"/>
        <s v="CO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s v="O0001"/>
    <x v="0"/>
    <x v="0"/>
    <x v="0"/>
    <x v="0"/>
    <s v="Milk"/>
    <n v="2"/>
    <n v="656.48"/>
    <n v="1312.96"/>
    <x v="0"/>
  </r>
  <r>
    <s v="O0002"/>
    <x v="1"/>
    <x v="1"/>
    <x v="1"/>
    <x v="0"/>
    <s v="Oil"/>
    <n v="2"/>
    <n v="567.19000000000005"/>
    <n v="1134.3800000000001"/>
    <x v="1"/>
  </r>
  <r>
    <s v="O0003"/>
    <x v="2"/>
    <x v="2"/>
    <x v="1"/>
    <x v="1"/>
    <s v="Camera"/>
    <n v="4"/>
    <n v="1996.22"/>
    <n v="7984.88"/>
    <x v="1"/>
  </r>
  <r>
    <s v="O0004"/>
    <x v="3"/>
    <x v="3"/>
    <x v="1"/>
    <x v="2"/>
    <s v="Table"/>
    <n v="4"/>
    <n v="1221.8599999999999"/>
    <n v="4887.4399999999996"/>
    <x v="2"/>
  </r>
  <r>
    <s v="O0005"/>
    <x v="4"/>
    <x v="4"/>
    <x v="0"/>
    <x v="3"/>
    <s v="Gym Gloves"/>
    <n v="1"/>
    <n v="1304.52"/>
    <n v="1304.52"/>
    <x v="1"/>
  </r>
  <r>
    <s v="O0006"/>
    <x v="5"/>
    <x v="5"/>
    <x v="1"/>
    <x v="2"/>
    <s v="Mixer"/>
    <n v="3"/>
    <n v="1967.74"/>
    <n v="5903.22"/>
    <x v="3"/>
  </r>
  <r>
    <s v="O0007"/>
    <x v="6"/>
    <x v="6"/>
    <x v="1"/>
    <x v="0"/>
    <s v="Oil"/>
    <n v="3"/>
    <n v="688.86"/>
    <n v="2066.58"/>
    <x v="1"/>
  </r>
  <r>
    <s v="O0008"/>
    <x v="7"/>
    <x v="7"/>
    <x v="1"/>
    <x v="4"/>
    <s v="Jacket"/>
    <n v="5"/>
    <n v="1723.95"/>
    <n v="8619.75"/>
    <x v="1"/>
  </r>
  <r>
    <s v="O0009"/>
    <x v="8"/>
    <x v="8"/>
    <x v="1"/>
    <x v="0"/>
    <s v="Rice"/>
    <n v="5"/>
    <n v="180.48"/>
    <n v="902.4"/>
    <x v="3"/>
  </r>
  <r>
    <s v="O0010"/>
    <x v="9"/>
    <x v="9"/>
    <x v="2"/>
    <x v="4"/>
    <s v="Jeans"/>
    <n v="2"/>
    <n v="1715.66"/>
    <n v="3431.32"/>
    <x v="2"/>
  </r>
  <r>
    <s v="O0011"/>
    <x v="10"/>
    <x v="10"/>
    <x v="3"/>
    <x v="3"/>
    <s v="Gym Gloves"/>
    <n v="2"/>
    <n v="623.01"/>
    <n v="1246.02"/>
    <x v="3"/>
  </r>
  <r>
    <s v="O0012"/>
    <x v="11"/>
    <x v="11"/>
    <x v="3"/>
    <x v="2"/>
    <s v="Mixer"/>
    <n v="4"/>
    <n v="1350.36"/>
    <n v="5401.44"/>
    <x v="0"/>
  </r>
  <r>
    <s v="O0013"/>
    <x v="12"/>
    <x v="12"/>
    <x v="2"/>
    <x v="0"/>
    <s v="Rice"/>
    <n v="1"/>
    <n v="177.1"/>
    <n v="177.1"/>
    <x v="3"/>
  </r>
  <r>
    <s v="O0014"/>
    <x v="13"/>
    <x v="13"/>
    <x v="1"/>
    <x v="1"/>
    <s v="Smartphone"/>
    <n v="5"/>
    <n v="554.79999999999995"/>
    <n v="2774"/>
    <x v="2"/>
  </r>
  <r>
    <s v="O0015"/>
    <x v="14"/>
    <x v="14"/>
    <x v="2"/>
    <x v="2"/>
    <s v="Mixer"/>
    <n v="2"/>
    <n v="1892.57"/>
    <n v="3785.14"/>
    <x v="3"/>
  </r>
  <r>
    <s v="O0016"/>
    <x v="15"/>
    <x v="15"/>
    <x v="3"/>
    <x v="0"/>
    <s v="Sugar"/>
    <n v="1"/>
    <n v="519.41999999999996"/>
    <n v="519.41999999999996"/>
    <x v="3"/>
  </r>
  <r>
    <s v="O0017"/>
    <x v="16"/>
    <x v="16"/>
    <x v="3"/>
    <x v="2"/>
    <s v="Iron"/>
    <n v="3"/>
    <n v="849.72"/>
    <n v="2549.16"/>
    <x v="2"/>
  </r>
  <r>
    <s v="O0018"/>
    <x v="17"/>
    <x v="14"/>
    <x v="1"/>
    <x v="3"/>
    <s v="Gym Gloves"/>
    <n v="2"/>
    <n v="585.1"/>
    <n v="1170.2"/>
    <x v="2"/>
  </r>
  <r>
    <s v="O0019"/>
    <x v="18"/>
    <x v="8"/>
    <x v="3"/>
    <x v="1"/>
    <s v="Smartphone"/>
    <n v="1"/>
    <n v="249.18"/>
    <n v="249.18"/>
    <x v="1"/>
  </r>
  <r>
    <s v="O0020"/>
    <x v="19"/>
    <x v="17"/>
    <x v="1"/>
    <x v="1"/>
    <s v="Laptop"/>
    <n v="1"/>
    <n v="278.77999999999997"/>
    <n v="278.77999999999997"/>
    <x v="1"/>
  </r>
  <r>
    <s v="O0021"/>
    <x v="14"/>
    <x v="18"/>
    <x v="3"/>
    <x v="2"/>
    <s v="Chair"/>
    <n v="1"/>
    <n v="1881.01"/>
    <n v="1881.01"/>
    <x v="2"/>
  </r>
  <r>
    <s v="O0022"/>
    <x v="20"/>
    <x v="14"/>
    <x v="2"/>
    <x v="4"/>
    <s v="Jeans"/>
    <n v="1"/>
    <n v="832.81"/>
    <n v="832.81"/>
    <x v="3"/>
  </r>
  <r>
    <s v="O0023"/>
    <x v="21"/>
    <x v="19"/>
    <x v="1"/>
    <x v="2"/>
    <s v="Mixer"/>
    <n v="1"/>
    <n v="442.07"/>
    <n v="442.07"/>
    <x v="0"/>
  </r>
  <r>
    <s v="O0024"/>
    <x v="10"/>
    <x v="20"/>
    <x v="1"/>
    <x v="1"/>
    <s v="Laptop"/>
    <n v="5"/>
    <n v="747.22"/>
    <n v="3736.1"/>
    <x v="1"/>
  </r>
  <r>
    <s v="O0025"/>
    <x v="22"/>
    <x v="21"/>
    <x v="2"/>
    <x v="3"/>
    <s v="Tennis Racket"/>
    <n v="5"/>
    <n v="308.52999999999997"/>
    <n v="1542.65"/>
    <x v="0"/>
  </r>
  <r>
    <s v="O0026"/>
    <x v="8"/>
    <x v="22"/>
    <x v="1"/>
    <x v="3"/>
    <s v="Football"/>
    <n v="3"/>
    <n v="1614.38"/>
    <n v="4843.1400000000003"/>
    <x v="2"/>
  </r>
  <r>
    <s v="O0027"/>
    <x v="3"/>
    <x v="18"/>
    <x v="0"/>
    <x v="2"/>
    <s v="Mixer"/>
    <n v="1"/>
    <n v="579.84"/>
    <n v="579.84"/>
    <x v="1"/>
  </r>
  <r>
    <s v="O0028"/>
    <x v="23"/>
    <x v="20"/>
    <x v="0"/>
    <x v="2"/>
    <s v="Iron"/>
    <n v="5"/>
    <n v="1969.89"/>
    <n v="9849.4500000000007"/>
    <x v="0"/>
  </r>
  <r>
    <s v="O0029"/>
    <x v="5"/>
    <x v="23"/>
    <x v="2"/>
    <x v="1"/>
    <s v="Laptop"/>
    <n v="5"/>
    <n v="1521.15"/>
    <n v="7605.75"/>
    <x v="3"/>
  </r>
  <r>
    <s v="O0030"/>
    <x v="2"/>
    <x v="24"/>
    <x v="2"/>
    <x v="4"/>
    <s v="T-Shirt"/>
    <n v="1"/>
    <n v="543.54"/>
    <n v="543.54"/>
    <x v="3"/>
  </r>
  <r>
    <s v="O0031"/>
    <x v="22"/>
    <x v="9"/>
    <x v="2"/>
    <x v="3"/>
    <s v="Cricket Bat"/>
    <n v="2"/>
    <n v="1759.98"/>
    <n v="3519.96"/>
    <x v="1"/>
  </r>
  <r>
    <s v="O0032"/>
    <x v="12"/>
    <x v="4"/>
    <x v="0"/>
    <x v="1"/>
    <s v="Smartphone"/>
    <n v="2"/>
    <n v="352.9"/>
    <n v="705.8"/>
    <x v="2"/>
  </r>
  <r>
    <s v="O0033"/>
    <x v="24"/>
    <x v="14"/>
    <x v="2"/>
    <x v="2"/>
    <s v="Chair"/>
    <n v="4"/>
    <n v="1055.6300000000001"/>
    <n v="4222.5200000000004"/>
    <x v="1"/>
  </r>
  <r>
    <s v="O0034"/>
    <x v="25"/>
    <x v="25"/>
    <x v="3"/>
    <x v="1"/>
    <s v="Camera"/>
    <n v="1"/>
    <n v="1882.25"/>
    <n v="1882.25"/>
    <x v="1"/>
  </r>
  <r>
    <s v="O0035"/>
    <x v="26"/>
    <x v="15"/>
    <x v="3"/>
    <x v="4"/>
    <s v="Jacket"/>
    <n v="1"/>
    <n v="675.02"/>
    <n v="675.02"/>
    <x v="3"/>
  </r>
  <r>
    <s v="O0036"/>
    <x v="27"/>
    <x v="8"/>
    <x v="0"/>
    <x v="0"/>
    <s v="Sugar"/>
    <n v="1"/>
    <n v="681.52"/>
    <n v="681.52"/>
    <x v="1"/>
  </r>
  <r>
    <s v="O0037"/>
    <x v="28"/>
    <x v="26"/>
    <x v="3"/>
    <x v="1"/>
    <s v="Laptop"/>
    <n v="5"/>
    <n v="470.19"/>
    <n v="2350.9499999999998"/>
    <x v="2"/>
  </r>
  <r>
    <s v="O0038"/>
    <x v="29"/>
    <x v="0"/>
    <x v="1"/>
    <x v="3"/>
    <s v="Gym Gloves"/>
    <n v="5"/>
    <n v="491.62"/>
    <n v="2458.1"/>
    <x v="1"/>
  </r>
  <r>
    <s v="O0039"/>
    <x v="30"/>
    <x v="9"/>
    <x v="2"/>
    <x v="0"/>
    <s v="Oil"/>
    <n v="2"/>
    <n v="935.43"/>
    <n v="1870.86"/>
    <x v="2"/>
  </r>
  <r>
    <s v="O0040"/>
    <x v="31"/>
    <x v="26"/>
    <x v="2"/>
    <x v="3"/>
    <s v="Tennis Racket"/>
    <n v="4"/>
    <n v="1763.06"/>
    <n v="7052.24"/>
    <x v="1"/>
  </r>
  <r>
    <s v="O0041"/>
    <x v="32"/>
    <x v="27"/>
    <x v="2"/>
    <x v="4"/>
    <s v="Jacket"/>
    <n v="3"/>
    <n v="271.89"/>
    <n v="815.67"/>
    <x v="0"/>
  </r>
  <r>
    <s v="O0042"/>
    <x v="33"/>
    <x v="28"/>
    <x v="0"/>
    <x v="1"/>
    <s v="Smartphone"/>
    <n v="4"/>
    <n v="685.29"/>
    <n v="2741.16"/>
    <x v="0"/>
  </r>
  <r>
    <s v="O0043"/>
    <x v="34"/>
    <x v="8"/>
    <x v="2"/>
    <x v="2"/>
    <s v="Mixer"/>
    <n v="2"/>
    <n v="829.52"/>
    <n v="1659.04"/>
    <x v="0"/>
  </r>
  <r>
    <s v="O0044"/>
    <x v="35"/>
    <x v="28"/>
    <x v="2"/>
    <x v="4"/>
    <s v="Jacket"/>
    <n v="5"/>
    <n v="1435.32"/>
    <n v="7176.6"/>
    <x v="3"/>
  </r>
  <r>
    <s v="O0045"/>
    <x v="36"/>
    <x v="29"/>
    <x v="3"/>
    <x v="1"/>
    <s v="Camera"/>
    <n v="2"/>
    <n v="1691.74"/>
    <n v="3383.48"/>
    <x v="2"/>
  </r>
  <r>
    <s v="O0046"/>
    <x v="10"/>
    <x v="30"/>
    <x v="3"/>
    <x v="0"/>
    <s v="Rice"/>
    <n v="5"/>
    <n v="1493.38"/>
    <n v="7466.9"/>
    <x v="3"/>
  </r>
  <r>
    <s v="O0047"/>
    <x v="37"/>
    <x v="31"/>
    <x v="3"/>
    <x v="1"/>
    <s v="Headphones"/>
    <n v="1"/>
    <n v="882.37"/>
    <n v="882.37"/>
    <x v="3"/>
  </r>
  <r>
    <s v="O0048"/>
    <x v="38"/>
    <x v="21"/>
    <x v="0"/>
    <x v="1"/>
    <s v="Laptop"/>
    <n v="4"/>
    <n v="1980.24"/>
    <n v="7920.96"/>
    <x v="3"/>
  </r>
  <r>
    <s v="O0049"/>
    <x v="39"/>
    <x v="32"/>
    <x v="3"/>
    <x v="0"/>
    <s v="Oil"/>
    <n v="5"/>
    <n v="619.09"/>
    <n v="3095.45"/>
    <x v="1"/>
  </r>
  <r>
    <s v="O0050"/>
    <x v="40"/>
    <x v="21"/>
    <x v="0"/>
    <x v="3"/>
    <s v="Football"/>
    <n v="1"/>
    <n v="1532.28"/>
    <n v="1532.28"/>
    <x v="1"/>
  </r>
  <r>
    <s v="O0051"/>
    <x v="19"/>
    <x v="20"/>
    <x v="0"/>
    <x v="1"/>
    <s v="Laptop"/>
    <n v="2"/>
    <n v="1154.45"/>
    <n v="2308.9"/>
    <x v="1"/>
  </r>
  <r>
    <s v="O0052"/>
    <x v="24"/>
    <x v="33"/>
    <x v="3"/>
    <x v="2"/>
    <s v="Mixer"/>
    <n v="1"/>
    <n v="503.72"/>
    <n v="503.72"/>
    <x v="0"/>
  </r>
  <r>
    <s v="O0053"/>
    <x v="41"/>
    <x v="34"/>
    <x v="2"/>
    <x v="3"/>
    <s v="Football"/>
    <n v="5"/>
    <n v="1241.03"/>
    <n v="6205.15"/>
    <x v="1"/>
  </r>
  <r>
    <s v="O0054"/>
    <x v="42"/>
    <x v="35"/>
    <x v="2"/>
    <x v="4"/>
    <s v="Shoes"/>
    <n v="5"/>
    <n v="1742.24"/>
    <n v="8711.2000000000007"/>
    <x v="3"/>
  </r>
  <r>
    <s v="O0055"/>
    <x v="21"/>
    <x v="31"/>
    <x v="1"/>
    <x v="0"/>
    <s v="Oil"/>
    <n v="4"/>
    <n v="1384.44"/>
    <n v="5537.76"/>
    <x v="1"/>
  </r>
  <r>
    <s v="O0056"/>
    <x v="43"/>
    <x v="36"/>
    <x v="2"/>
    <x v="2"/>
    <s v="Table"/>
    <n v="5"/>
    <n v="350.92"/>
    <n v="1754.6"/>
    <x v="2"/>
  </r>
  <r>
    <s v="O0057"/>
    <x v="20"/>
    <x v="25"/>
    <x v="0"/>
    <x v="1"/>
    <s v="Smartphone"/>
    <n v="1"/>
    <n v="1249.28"/>
    <n v="1249.28"/>
    <x v="2"/>
  </r>
  <r>
    <s v="O0058"/>
    <x v="31"/>
    <x v="7"/>
    <x v="2"/>
    <x v="4"/>
    <s v="Jacket"/>
    <n v="2"/>
    <n v="1416.19"/>
    <n v="2832.38"/>
    <x v="1"/>
  </r>
  <r>
    <s v="O0059"/>
    <x v="44"/>
    <x v="37"/>
    <x v="3"/>
    <x v="1"/>
    <s v="Smartphone"/>
    <n v="2"/>
    <n v="539.32000000000005"/>
    <n v="1078.6400000000001"/>
    <x v="2"/>
  </r>
  <r>
    <s v="O0060"/>
    <x v="25"/>
    <x v="21"/>
    <x v="0"/>
    <x v="0"/>
    <s v="Oil"/>
    <n v="5"/>
    <n v="1041.5999999999999"/>
    <n v="5208"/>
    <x v="3"/>
  </r>
  <r>
    <s v="O0061"/>
    <x v="45"/>
    <x v="2"/>
    <x v="2"/>
    <x v="4"/>
    <s v="Jeans"/>
    <n v="2"/>
    <n v="1379.98"/>
    <n v="2759.96"/>
    <x v="2"/>
  </r>
  <r>
    <s v="O0062"/>
    <x v="17"/>
    <x v="32"/>
    <x v="3"/>
    <x v="2"/>
    <s v="Table"/>
    <n v="1"/>
    <n v="1106.24"/>
    <n v="1106.24"/>
    <x v="1"/>
  </r>
  <r>
    <s v="O0063"/>
    <x v="24"/>
    <x v="12"/>
    <x v="2"/>
    <x v="0"/>
    <s v="Sugar"/>
    <n v="1"/>
    <n v="666.09"/>
    <n v="666.09"/>
    <x v="2"/>
  </r>
  <r>
    <s v="O0064"/>
    <x v="46"/>
    <x v="16"/>
    <x v="0"/>
    <x v="3"/>
    <s v="Gym Gloves"/>
    <n v="2"/>
    <n v="322.93"/>
    <n v="645.86"/>
    <x v="2"/>
  </r>
  <r>
    <s v="O0065"/>
    <x v="47"/>
    <x v="22"/>
    <x v="0"/>
    <x v="3"/>
    <s v="Cricket Bat"/>
    <n v="1"/>
    <n v="1011.75"/>
    <n v="1011.75"/>
    <x v="0"/>
  </r>
  <r>
    <s v="O0066"/>
    <x v="48"/>
    <x v="36"/>
    <x v="1"/>
    <x v="0"/>
    <s v="Milk"/>
    <n v="3"/>
    <n v="117.2"/>
    <n v="351.6"/>
    <x v="0"/>
  </r>
  <r>
    <s v="O0067"/>
    <x v="49"/>
    <x v="17"/>
    <x v="3"/>
    <x v="1"/>
    <s v="Smartphone"/>
    <n v="2"/>
    <n v="1579.7"/>
    <n v="3159.4"/>
    <x v="1"/>
  </r>
  <r>
    <s v="O0068"/>
    <x v="50"/>
    <x v="3"/>
    <x v="0"/>
    <x v="0"/>
    <s v="Rice"/>
    <n v="1"/>
    <n v="1908.76"/>
    <n v="1908.76"/>
    <x v="1"/>
  </r>
  <r>
    <s v="O0069"/>
    <x v="10"/>
    <x v="26"/>
    <x v="2"/>
    <x v="4"/>
    <s v="Jacket"/>
    <n v="3"/>
    <n v="1870.77"/>
    <n v="5612.31"/>
    <x v="3"/>
  </r>
  <r>
    <s v="O0070"/>
    <x v="51"/>
    <x v="20"/>
    <x v="2"/>
    <x v="0"/>
    <s v="Milk"/>
    <n v="5"/>
    <n v="986.87"/>
    <n v="4934.3500000000004"/>
    <x v="2"/>
  </r>
  <r>
    <s v="O0071"/>
    <x v="52"/>
    <x v="33"/>
    <x v="0"/>
    <x v="4"/>
    <s v="Shoes"/>
    <n v="4"/>
    <n v="444.17"/>
    <n v="1776.68"/>
    <x v="1"/>
  </r>
  <r>
    <s v="O0072"/>
    <x v="44"/>
    <x v="33"/>
    <x v="0"/>
    <x v="2"/>
    <s v="Iron"/>
    <n v="5"/>
    <n v="1855.9"/>
    <n v="9279.5"/>
    <x v="1"/>
  </r>
  <r>
    <s v="O0073"/>
    <x v="0"/>
    <x v="6"/>
    <x v="1"/>
    <x v="3"/>
    <s v="Football"/>
    <n v="4"/>
    <n v="864.39"/>
    <n v="3457.56"/>
    <x v="3"/>
  </r>
  <r>
    <s v="O0074"/>
    <x v="53"/>
    <x v="27"/>
    <x v="1"/>
    <x v="3"/>
    <s v="Football"/>
    <n v="1"/>
    <n v="1579.76"/>
    <n v="1579.76"/>
    <x v="1"/>
  </r>
  <r>
    <s v="O0075"/>
    <x v="39"/>
    <x v="2"/>
    <x v="0"/>
    <x v="3"/>
    <s v="Gym Gloves"/>
    <n v="5"/>
    <n v="1216.21"/>
    <n v="6081.05"/>
    <x v="3"/>
  </r>
  <r>
    <s v="O0076"/>
    <x v="3"/>
    <x v="27"/>
    <x v="1"/>
    <x v="0"/>
    <s v="Sugar"/>
    <n v="2"/>
    <n v="1618.77"/>
    <n v="3237.54"/>
    <x v="3"/>
  </r>
  <r>
    <s v="O0077"/>
    <x v="24"/>
    <x v="32"/>
    <x v="3"/>
    <x v="0"/>
    <s v="Rice"/>
    <n v="3"/>
    <n v="1516.95"/>
    <n v="4550.8500000000004"/>
    <x v="3"/>
  </r>
  <r>
    <s v="O0078"/>
    <x v="39"/>
    <x v="38"/>
    <x v="0"/>
    <x v="1"/>
    <s v="Headphones"/>
    <n v="2"/>
    <n v="1508.57"/>
    <n v="3017.14"/>
    <x v="0"/>
  </r>
  <r>
    <s v="O0079"/>
    <x v="7"/>
    <x v="12"/>
    <x v="2"/>
    <x v="2"/>
    <s v="Table"/>
    <n v="4"/>
    <n v="488.95"/>
    <n v="1955.8"/>
    <x v="2"/>
  </r>
  <r>
    <s v="O0080"/>
    <x v="29"/>
    <x v="39"/>
    <x v="3"/>
    <x v="3"/>
    <s v="Football"/>
    <n v="1"/>
    <n v="143.85"/>
    <n v="143.85"/>
    <x v="3"/>
  </r>
  <r>
    <s v="O0081"/>
    <x v="34"/>
    <x v="37"/>
    <x v="1"/>
    <x v="3"/>
    <s v="Gym Gloves"/>
    <n v="4"/>
    <n v="143.35"/>
    <n v="573.4"/>
    <x v="3"/>
  </r>
  <r>
    <s v="O0082"/>
    <x v="54"/>
    <x v="19"/>
    <x v="2"/>
    <x v="3"/>
    <s v="Gym Gloves"/>
    <n v="5"/>
    <n v="106.18"/>
    <n v="530.9"/>
    <x v="2"/>
  </r>
  <r>
    <s v="O0083"/>
    <x v="1"/>
    <x v="32"/>
    <x v="1"/>
    <x v="0"/>
    <s v="Rice"/>
    <n v="1"/>
    <n v="930.75"/>
    <n v="930.75"/>
    <x v="1"/>
  </r>
  <r>
    <s v="O0084"/>
    <x v="40"/>
    <x v="40"/>
    <x v="3"/>
    <x v="4"/>
    <s v="Shoes"/>
    <n v="3"/>
    <n v="642.74"/>
    <n v="1928.22"/>
    <x v="2"/>
  </r>
  <r>
    <s v="O0085"/>
    <x v="25"/>
    <x v="27"/>
    <x v="1"/>
    <x v="3"/>
    <s v="Tennis Racket"/>
    <n v="1"/>
    <n v="242.78"/>
    <n v="242.78"/>
    <x v="2"/>
  </r>
  <r>
    <s v="O0086"/>
    <x v="55"/>
    <x v="41"/>
    <x v="1"/>
    <x v="4"/>
    <s v="Shoes"/>
    <n v="1"/>
    <n v="158.69"/>
    <n v="158.69"/>
    <x v="3"/>
  </r>
  <r>
    <s v="O0087"/>
    <x v="56"/>
    <x v="20"/>
    <x v="1"/>
    <x v="1"/>
    <s v="Laptop"/>
    <n v="2"/>
    <n v="1389.82"/>
    <n v="2779.64"/>
    <x v="2"/>
  </r>
  <r>
    <s v="O0088"/>
    <x v="4"/>
    <x v="24"/>
    <x v="3"/>
    <x v="0"/>
    <s v="Oil"/>
    <n v="2"/>
    <n v="886.05"/>
    <n v="1772.1"/>
    <x v="0"/>
  </r>
  <r>
    <s v="O0089"/>
    <x v="57"/>
    <x v="24"/>
    <x v="3"/>
    <x v="4"/>
    <s v="T-Shirt"/>
    <n v="4"/>
    <n v="1400.3"/>
    <n v="5601.2"/>
    <x v="1"/>
  </r>
  <r>
    <s v="O0090"/>
    <x v="21"/>
    <x v="6"/>
    <x v="1"/>
    <x v="1"/>
    <s v="Laptop"/>
    <n v="5"/>
    <n v="520.04999999999995"/>
    <n v="2600.25"/>
    <x v="3"/>
  </r>
  <r>
    <s v="O0091"/>
    <x v="15"/>
    <x v="15"/>
    <x v="3"/>
    <x v="4"/>
    <s v="Jacket"/>
    <n v="2"/>
    <n v="1150.94"/>
    <n v="2301.88"/>
    <x v="0"/>
  </r>
  <r>
    <s v="O0092"/>
    <x v="58"/>
    <x v="9"/>
    <x v="0"/>
    <x v="1"/>
    <s v="Camera"/>
    <n v="5"/>
    <n v="1597.98"/>
    <n v="7989.9"/>
    <x v="0"/>
  </r>
  <r>
    <s v="O0093"/>
    <x v="17"/>
    <x v="33"/>
    <x v="2"/>
    <x v="4"/>
    <s v="Jeans"/>
    <n v="3"/>
    <n v="1137.4100000000001"/>
    <n v="3412.23"/>
    <x v="1"/>
  </r>
  <r>
    <s v="O0094"/>
    <x v="35"/>
    <x v="42"/>
    <x v="3"/>
    <x v="0"/>
    <s v="Milk"/>
    <n v="4"/>
    <n v="152.65"/>
    <n v="610.6"/>
    <x v="3"/>
  </r>
  <r>
    <s v="O0095"/>
    <x v="30"/>
    <x v="26"/>
    <x v="2"/>
    <x v="0"/>
    <s v="Rice"/>
    <n v="2"/>
    <n v="997.83"/>
    <n v="1995.66"/>
    <x v="2"/>
  </r>
  <r>
    <s v="O0096"/>
    <x v="49"/>
    <x v="43"/>
    <x v="1"/>
    <x v="0"/>
    <s v="Sugar"/>
    <n v="1"/>
    <n v="1465.01"/>
    <n v="1465.01"/>
    <x v="3"/>
  </r>
  <r>
    <s v="O0097"/>
    <x v="59"/>
    <x v="18"/>
    <x v="2"/>
    <x v="0"/>
    <s v="Milk"/>
    <n v="5"/>
    <n v="112.47"/>
    <n v="562.35"/>
    <x v="0"/>
  </r>
  <r>
    <s v="O0098"/>
    <x v="56"/>
    <x v="3"/>
    <x v="3"/>
    <x v="1"/>
    <s v="Camera"/>
    <n v="2"/>
    <n v="899.3"/>
    <n v="1798.6"/>
    <x v="1"/>
  </r>
  <r>
    <s v="O0099"/>
    <x v="10"/>
    <x v="16"/>
    <x v="2"/>
    <x v="0"/>
    <s v="Rice"/>
    <n v="1"/>
    <n v="1543.35"/>
    <n v="1543.35"/>
    <x v="1"/>
  </r>
  <r>
    <s v="O0100"/>
    <x v="0"/>
    <x v="10"/>
    <x v="1"/>
    <x v="2"/>
    <s v="Iron"/>
    <n v="2"/>
    <n v="430.6"/>
    <n v="86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K14:L20" firstHeaderRow="1" firstDataRow="1" firstDataCol="1"/>
  <pivotFields count="10">
    <pivotField showAll="0"/>
    <pivotField numFmtId="14" showAll="0"/>
    <pivotField showAll="0"/>
    <pivotField showAll="0">
      <items count="5">
        <item x="1"/>
        <item x="0"/>
        <item x="2"/>
        <item x="3"/>
        <item t="default"/>
      </items>
    </pivotField>
    <pivotField axis="axisRow" showAll="0" sortType="descending">
      <items count="6">
        <item x="1"/>
        <item x="4"/>
        <item x="0"/>
        <item x="2"/>
        <item x="3"/>
        <item t="default"/>
      </items>
      <autoSortScope>
        <pivotArea dataOnly="0" outline="0" fieldPosition="0">
          <references count="1">
            <reference field="4294967294" count="1" selected="0">
              <x v="0"/>
            </reference>
          </references>
        </pivotArea>
      </autoSortScope>
    </pivotField>
    <pivotField showAll="0"/>
    <pivotField numFmtId="2" showAll="0"/>
    <pivotField numFmtId="2" showAll="0"/>
    <pivotField dataField="1" numFmtId="2" showAll="0"/>
    <pivotField showAll="0"/>
  </pivotFields>
  <rowFields count="1">
    <field x="4"/>
  </rowFields>
  <rowItems count="6">
    <i>
      <x/>
    </i>
    <i>
      <x v="1"/>
    </i>
    <i>
      <x v="3"/>
    </i>
    <i>
      <x v="2"/>
    </i>
    <i>
      <x v="4"/>
    </i>
    <i t="grand">
      <x/>
    </i>
  </rowItems>
  <colItems count="1">
    <i/>
  </colItems>
  <dataFields count="1">
    <dataField name="Sum of Total Sales" fld="8" baseField="0" baseItem="0"/>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3">
  <location ref="K22:L33" firstHeaderRow="1" firstDataRow="1" firstDataCol="1"/>
  <pivotFields count="10">
    <pivotField showAll="0"/>
    <pivotField numFmtId="14" showAll="0"/>
    <pivotField axis="axisRow" showAll="0" measureFilter="1" sortType="descending">
      <items count="45">
        <item x="22"/>
        <item x="24"/>
        <item x="27"/>
        <item x="36"/>
        <item x="19"/>
        <item x="7"/>
        <item x="23"/>
        <item x="1"/>
        <item x="28"/>
        <item x="31"/>
        <item x="43"/>
        <item x="15"/>
        <item x="12"/>
        <item x="37"/>
        <item x="40"/>
        <item x="13"/>
        <item x="6"/>
        <item x="11"/>
        <item x="42"/>
        <item x="30"/>
        <item x="34"/>
        <item x="18"/>
        <item x="35"/>
        <item x="4"/>
        <item x="3"/>
        <item x="0"/>
        <item x="41"/>
        <item x="32"/>
        <item x="25"/>
        <item x="10"/>
        <item x="38"/>
        <item x="39"/>
        <item x="26"/>
        <item x="8"/>
        <item x="16"/>
        <item x="29"/>
        <item x="21"/>
        <item x="20"/>
        <item x="2"/>
        <item x="5"/>
        <item x="9"/>
        <item x="14"/>
        <item x="33"/>
        <item x="17"/>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pivotField showAll="0"/>
    <pivotField numFmtId="2" showAll="0"/>
    <pivotField numFmtId="2" showAll="0"/>
    <pivotField dataField="1" numFmtId="2" showAll="0"/>
    <pivotField showAll="0"/>
  </pivotFields>
  <rowFields count="1">
    <field x="2"/>
  </rowFields>
  <rowItems count="11">
    <i>
      <x v="37"/>
    </i>
    <i>
      <x v="32"/>
    </i>
    <i>
      <x v="38"/>
    </i>
    <i>
      <x v="40"/>
    </i>
    <i>
      <x v="36"/>
    </i>
    <i>
      <x v="42"/>
    </i>
    <i>
      <x v="5"/>
    </i>
    <i>
      <x v="41"/>
    </i>
    <i>
      <x v="8"/>
    </i>
    <i>
      <x v="27"/>
    </i>
    <i t="grand">
      <x/>
    </i>
  </rowItems>
  <colItems count="1">
    <i/>
  </colItems>
  <dataFields count="1">
    <dataField name="Sum of Total Sales" fld="8" baseField="0" baseItem="0"/>
  </dataFields>
  <chartFormats count="2">
    <chartFormat chart="27" format="1"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K35:L40" firstHeaderRow="1" firstDataRow="1" firstDataCol="1"/>
  <pivotFields count="10">
    <pivotField showAll="0"/>
    <pivotField numFmtId="14" showAll="0"/>
    <pivotField showAll="0"/>
    <pivotField showAll="0">
      <items count="5">
        <item x="1"/>
        <item x="0"/>
        <item x="2"/>
        <item x="3"/>
        <item t="default"/>
      </items>
    </pivotField>
    <pivotField showAll="0"/>
    <pivotField showAll="0"/>
    <pivotField numFmtId="2" showAll="0"/>
    <pivotField numFmtId="2" showAll="0"/>
    <pivotField dataField="1" numFmtId="2"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s>
  <rowFields count="1">
    <field x="9"/>
  </rowFields>
  <rowItems count="5">
    <i>
      <x v="1"/>
    </i>
    <i>
      <x/>
    </i>
    <i>
      <x v="2"/>
    </i>
    <i>
      <x v="3"/>
    </i>
    <i t="grand">
      <x/>
    </i>
  </rowItems>
  <colItems count="1">
    <i/>
  </colItems>
  <dataFields count="1">
    <dataField name="Sum of Total Sales" fld="8" baseField="0" baseItem="0"/>
  </dataFields>
  <chartFormats count="10">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9" count="1" selected="0">
            <x v="1"/>
          </reference>
        </references>
      </pivotArea>
    </chartFormat>
    <chartFormat chart="8" format="3">
      <pivotArea type="data" outline="0" fieldPosition="0">
        <references count="2">
          <reference field="4294967294" count="1" selected="0">
            <x v="0"/>
          </reference>
          <reference field="9" count="1" selected="0">
            <x v="0"/>
          </reference>
        </references>
      </pivotArea>
    </chartFormat>
    <chartFormat chart="8" format="4">
      <pivotArea type="data" outline="0" fieldPosition="0">
        <references count="2">
          <reference field="4294967294" count="1" selected="0">
            <x v="0"/>
          </reference>
          <reference field="9" count="1" selected="0">
            <x v="2"/>
          </reference>
        </references>
      </pivotArea>
    </chartFormat>
    <chartFormat chart="8" format="5">
      <pivotArea type="data" outline="0" fieldPosition="0">
        <references count="2">
          <reference field="4294967294" count="1" selected="0">
            <x v="0"/>
          </reference>
          <reference field="9" count="1" selected="0">
            <x v="3"/>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9" count="1" selected="0">
            <x v="1"/>
          </reference>
        </references>
      </pivotArea>
    </chartFormat>
    <chartFormat chart="10" format="13">
      <pivotArea type="data" outline="0" fieldPosition="0">
        <references count="2">
          <reference field="4294967294" count="1" selected="0">
            <x v="0"/>
          </reference>
          <reference field="9" count="1" selected="0">
            <x v="0"/>
          </reference>
        </references>
      </pivotArea>
    </chartFormat>
    <chartFormat chart="10" format="14">
      <pivotArea type="data" outline="0" fieldPosition="0">
        <references count="2">
          <reference field="4294967294" count="1" selected="0">
            <x v="0"/>
          </reference>
          <reference field="9" count="1" selected="0">
            <x v="2"/>
          </reference>
        </references>
      </pivotArea>
    </chartFormat>
    <chartFormat chart="10" format="15">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K1:L6"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6">
        <item x="1"/>
        <item x="4"/>
        <item x="0"/>
        <item x="2"/>
        <item x="3"/>
        <item t="default"/>
      </items>
    </pivotField>
    <pivotField showAll="0"/>
    <pivotField numFmtId="2" showAll="0"/>
    <pivotField numFmtId="2" showAll="0"/>
    <pivotField dataField="1" numFmtId="2" showAll="0"/>
    <pivotField showAll="0">
      <items count="5">
        <item x="3"/>
        <item x="1"/>
        <item x="2"/>
        <item x="0"/>
        <item t="default"/>
      </items>
    </pivotField>
  </pivotFields>
  <rowFields count="1">
    <field x="3"/>
  </rowFields>
  <rowItems count="5">
    <i>
      <x v="2"/>
    </i>
    <i>
      <x/>
    </i>
    <i>
      <x v="1"/>
    </i>
    <i>
      <x v="3"/>
    </i>
    <i t="grand">
      <x/>
    </i>
  </rowItems>
  <colItems count="1">
    <i/>
  </colItems>
  <dataFields count="1">
    <dataField name=".Total Sales" fld="8" baseField="0" baseItem="0"/>
  </dataFields>
  <chartFormats count="6">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K8:L12"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1"/>
        <item x="0"/>
        <item x="2"/>
        <item x="3"/>
        <item t="default"/>
      </items>
    </pivotField>
    <pivotField showAll="0"/>
    <pivotField showAll="0"/>
    <pivotField numFmtId="2" showAll="0"/>
    <pivotField numFmtId="2" showAll="0"/>
    <pivotField dataField="1" numFmtId="2" showAll="0"/>
    <pivotField showAll="0"/>
  </pivotFields>
  <rowFields count="1">
    <field x="1"/>
  </rowFields>
  <rowItems count="4">
    <i>
      <x v="1"/>
    </i>
    <i>
      <x v="2"/>
    </i>
    <i>
      <x v="3"/>
    </i>
    <i t="grand">
      <x/>
    </i>
  </rowItems>
  <colItems count="1">
    <i/>
  </colItems>
  <dataFields count="1">
    <dataField name="Sum of Total Sales" fld="8" baseField="0" baseItem="0"/>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 name="PivotTable1"/>
    <pivotTable tabId="1" name="PivotTable3"/>
    <pivotTable tabId="1" name="PivotTable4"/>
    <pivotTable tabId="1" name="PivotTable5"/>
    <pivotTable tabId="1" name="PivotTable6"/>
  </pivotTables>
  <data>
    <tabular pivotCacheId="1">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Category" sourceName="ProductCategory">
  <pivotTables>
    <pivotTable tabId="1" name="PivotTable1"/>
  </pivotTables>
  <data>
    <tabular pivotCacheId="1">
      <items count="5">
        <i x="1"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1" name="PivotTable1"/>
  </pivotTables>
  <data>
    <tabular pivotCacheId="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Category" cache="Slicer_ProductCategory" caption="ProductCategory" rowHeight="241300"/>
  <slicer name="Payment Method" cache="Slicer_Payment_Method" caption="Payment Method" rowHeight="241300"/>
</slicers>
</file>

<file path=xl/tables/table1.xml><?xml version="1.0" encoding="utf-8"?>
<table xmlns="http://schemas.openxmlformats.org/spreadsheetml/2006/main" id="1" name="Table1" displayName="Table1" ref="A1:J101" totalsRowShown="0" headerRowDxfId="13" headerRowBorderDxfId="12" tableBorderDxfId="11" totalsRowBorderDxfId="10">
  <tableColumns count="10">
    <tableColumn id="1" name="Order ID" dataDxfId="9"/>
    <tableColumn id="2" name="Order Date" dataDxfId="8"/>
    <tableColumn id="3" name="CustomerID" dataDxfId="7"/>
    <tableColumn id="4" name="Region" dataDxfId="6"/>
    <tableColumn id="5" name="Product Category" dataDxfId="5"/>
    <tableColumn id="6" name="Product Name" dataDxfId="4"/>
    <tableColumn id="7" name="Quantity" dataDxfId="3"/>
    <tableColumn id="8" name="Unit Price" dataDxfId="2"/>
    <tableColumn id="9" name="Total Sales" dataDxfId="1"/>
    <tableColumn id="10" name="Payment Method"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1"/>
  <sheetViews>
    <sheetView tabSelected="1" topLeftCell="J1" workbookViewId="0">
      <selection activeCell="V8" sqref="V8"/>
    </sheetView>
  </sheetViews>
  <sheetFormatPr defaultRowHeight="14.25" x14ac:dyDescent="0.2"/>
  <cols>
    <col min="1" max="1" width="10.5" customWidth="1"/>
    <col min="2" max="2" width="12.75" style="1" customWidth="1"/>
    <col min="3" max="3" width="13.5" customWidth="1"/>
    <col min="4" max="4" width="9.25" customWidth="1"/>
    <col min="5" max="5" width="18.25" customWidth="1"/>
    <col min="6" max="6" width="15.625" customWidth="1"/>
    <col min="7" max="7" width="10.75" style="2" customWidth="1"/>
    <col min="8" max="8" width="11.75" style="2" customWidth="1"/>
    <col min="9" max="9" width="12.5" style="2" customWidth="1"/>
    <col min="10" max="10" width="18.5" customWidth="1"/>
    <col min="11" max="11" width="13.625" customWidth="1"/>
    <col min="12" max="12" width="11.625" customWidth="1"/>
    <col min="13" max="13" width="13" customWidth="1"/>
    <col min="14" max="14" width="17.25" customWidth="1"/>
  </cols>
  <sheetData>
    <row r="1" spans="1:13" s="3" customFormat="1" ht="15" x14ac:dyDescent="0.25">
      <c r="A1" s="13" t="s">
        <v>189</v>
      </c>
      <c r="B1" s="14" t="s">
        <v>188</v>
      </c>
      <c r="C1" s="15" t="s">
        <v>0</v>
      </c>
      <c r="D1" s="15" t="s">
        <v>1</v>
      </c>
      <c r="E1" s="15" t="s">
        <v>193</v>
      </c>
      <c r="F1" s="15" t="s">
        <v>187</v>
      </c>
      <c r="G1" s="16" t="s">
        <v>2</v>
      </c>
      <c r="H1" s="16" t="s">
        <v>190</v>
      </c>
      <c r="I1" s="16" t="s">
        <v>4</v>
      </c>
      <c r="J1" s="17" t="s">
        <v>186</v>
      </c>
      <c r="K1" s="7" t="s">
        <v>3</v>
      </c>
      <c r="L1" t="s">
        <v>192</v>
      </c>
      <c r="M1"/>
    </row>
    <row r="2" spans="1:13" x14ac:dyDescent="0.2">
      <c r="A2" s="11" t="s">
        <v>5</v>
      </c>
      <c r="B2" s="5">
        <v>45691</v>
      </c>
      <c r="C2" s="4" t="s">
        <v>6</v>
      </c>
      <c r="D2" s="4" t="s">
        <v>7</v>
      </c>
      <c r="E2" s="4" t="s">
        <v>8</v>
      </c>
      <c r="F2" s="4" t="s">
        <v>9</v>
      </c>
      <c r="G2" s="6">
        <v>2</v>
      </c>
      <c r="H2" s="6">
        <v>656.48</v>
      </c>
      <c r="I2" s="6">
        <v>1312.96</v>
      </c>
      <c r="J2" s="12" t="s">
        <v>10</v>
      </c>
      <c r="K2" s="8" t="s">
        <v>11</v>
      </c>
      <c r="L2" s="9">
        <v>87711.530000000013</v>
      </c>
    </row>
    <row r="3" spans="1:13" x14ac:dyDescent="0.2">
      <c r="A3" s="11" t="s">
        <v>12</v>
      </c>
      <c r="B3" s="5">
        <v>45713</v>
      </c>
      <c r="C3" s="4" t="s">
        <v>13</v>
      </c>
      <c r="D3" s="4" t="s">
        <v>14</v>
      </c>
      <c r="E3" s="4" t="s">
        <v>8</v>
      </c>
      <c r="F3" s="4" t="s">
        <v>15</v>
      </c>
      <c r="G3" s="6">
        <v>2</v>
      </c>
      <c r="H3" s="6">
        <v>567.19000000000005</v>
      </c>
      <c r="I3" s="6">
        <v>1134.3800000000001</v>
      </c>
      <c r="J3" s="12" t="s">
        <v>16</v>
      </c>
      <c r="K3" s="8" t="s">
        <v>14</v>
      </c>
      <c r="L3" s="9">
        <v>70976.98</v>
      </c>
    </row>
    <row r="4" spans="1:13" x14ac:dyDescent="0.2">
      <c r="A4" s="11" t="s">
        <v>17</v>
      </c>
      <c r="B4" s="5">
        <v>45742</v>
      </c>
      <c r="C4" s="4" t="s">
        <v>18</v>
      </c>
      <c r="D4" s="4" t="s">
        <v>14</v>
      </c>
      <c r="E4" s="4" t="s">
        <v>19</v>
      </c>
      <c r="F4" s="4" t="s">
        <v>20</v>
      </c>
      <c r="G4" s="6">
        <v>4</v>
      </c>
      <c r="H4" s="6">
        <v>1996.22</v>
      </c>
      <c r="I4" s="6">
        <v>7984.88</v>
      </c>
      <c r="J4" s="12" t="s">
        <v>16</v>
      </c>
      <c r="K4" s="8" t="s">
        <v>7</v>
      </c>
      <c r="L4" s="9">
        <v>67105.31</v>
      </c>
    </row>
    <row r="5" spans="1:13" x14ac:dyDescent="0.2">
      <c r="A5" s="11" t="s">
        <v>21</v>
      </c>
      <c r="B5" s="5">
        <v>45671</v>
      </c>
      <c r="C5" s="4" t="s">
        <v>22</v>
      </c>
      <c r="D5" s="4" t="s">
        <v>14</v>
      </c>
      <c r="E5" s="4" t="s">
        <v>23</v>
      </c>
      <c r="F5" s="4" t="s">
        <v>24</v>
      </c>
      <c r="G5" s="6">
        <v>4</v>
      </c>
      <c r="H5" s="6">
        <v>1221.8599999999999</v>
      </c>
      <c r="I5" s="6">
        <v>4887.4399999999996</v>
      </c>
      <c r="J5" s="12" t="s">
        <v>25</v>
      </c>
      <c r="K5" s="8" t="s">
        <v>26</v>
      </c>
      <c r="L5" s="9">
        <v>56137.94999999999</v>
      </c>
    </row>
    <row r="6" spans="1:13" x14ac:dyDescent="0.2">
      <c r="A6" s="11" t="s">
        <v>27</v>
      </c>
      <c r="B6" s="5">
        <v>45735</v>
      </c>
      <c r="C6" s="4" t="s">
        <v>28</v>
      </c>
      <c r="D6" s="4" t="s">
        <v>7</v>
      </c>
      <c r="E6" s="4" t="s">
        <v>29</v>
      </c>
      <c r="F6" s="4" t="s">
        <v>30</v>
      </c>
      <c r="G6" s="6">
        <v>1</v>
      </c>
      <c r="H6" s="6">
        <v>1304.52</v>
      </c>
      <c r="I6" s="6">
        <v>1304.52</v>
      </c>
      <c r="J6" s="12" t="s">
        <v>16</v>
      </c>
      <c r="K6" s="8" t="s">
        <v>31</v>
      </c>
      <c r="L6" s="9">
        <v>281931.77</v>
      </c>
    </row>
    <row r="7" spans="1:13" x14ac:dyDescent="0.2">
      <c r="A7" s="11" t="s">
        <v>32</v>
      </c>
      <c r="B7" s="5">
        <v>45677</v>
      </c>
      <c r="C7" s="4" t="s">
        <v>33</v>
      </c>
      <c r="D7" s="4" t="s">
        <v>14</v>
      </c>
      <c r="E7" s="4" t="s">
        <v>23</v>
      </c>
      <c r="F7" s="4" t="s">
        <v>34</v>
      </c>
      <c r="G7" s="6">
        <v>3</v>
      </c>
      <c r="H7" s="6">
        <v>1967.74</v>
      </c>
      <c r="I7" s="6">
        <v>5903.22</v>
      </c>
      <c r="J7" s="12" t="s">
        <v>35</v>
      </c>
    </row>
    <row r="8" spans="1:13" x14ac:dyDescent="0.2">
      <c r="A8" s="11" t="s">
        <v>36</v>
      </c>
      <c r="B8" s="5">
        <v>45718</v>
      </c>
      <c r="C8" s="4" t="s">
        <v>37</v>
      </c>
      <c r="D8" s="4" t="s">
        <v>14</v>
      </c>
      <c r="E8" s="4" t="s">
        <v>8</v>
      </c>
      <c r="F8" s="4" t="s">
        <v>15</v>
      </c>
      <c r="G8" s="6">
        <v>3</v>
      </c>
      <c r="H8" s="6">
        <v>688.86</v>
      </c>
      <c r="I8" s="6">
        <v>2066.58</v>
      </c>
      <c r="J8" s="12" t="s">
        <v>16</v>
      </c>
      <c r="K8" s="7" t="s">
        <v>3</v>
      </c>
      <c r="L8" t="s">
        <v>191</v>
      </c>
    </row>
    <row r="9" spans="1:13" x14ac:dyDescent="0.2">
      <c r="A9" s="11" t="s">
        <v>38</v>
      </c>
      <c r="B9" s="5">
        <v>45666</v>
      </c>
      <c r="C9" s="4" t="s">
        <v>39</v>
      </c>
      <c r="D9" s="4" t="s">
        <v>14</v>
      </c>
      <c r="E9" s="4" t="s">
        <v>40</v>
      </c>
      <c r="F9" s="4" t="s">
        <v>41</v>
      </c>
      <c r="G9" s="6">
        <v>5</v>
      </c>
      <c r="H9" s="6">
        <v>1723.95</v>
      </c>
      <c r="I9" s="6">
        <v>8619.75</v>
      </c>
      <c r="J9" s="12" t="s">
        <v>16</v>
      </c>
      <c r="K9" s="10" t="s">
        <v>42</v>
      </c>
      <c r="L9" s="9">
        <v>97511.89999999998</v>
      </c>
    </row>
    <row r="10" spans="1:13" x14ac:dyDescent="0.2">
      <c r="A10" s="11" t="s">
        <v>43</v>
      </c>
      <c r="B10" s="5">
        <v>45729</v>
      </c>
      <c r="C10" s="4" t="s">
        <v>44</v>
      </c>
      <c r="D10" s="4" t="s">
        <v>14</v>
      </c>
      <c r="E10" s="4" t="s">
        <v>8</v>
      </c>
      <c r="F10" s="4" t="s">
        <v>45</v>
      </c>
      <c r="G10" s="6">
        <v>5</v>
      </c>
      <c r="H10" s="6">
        <v>180.48</v>
      </c>
      <c r="I10" s="6">
        <v>902.4</v>
      </c>
      <c r="J10" s="12" t="s">
        <v>35</v>
      </c>
      <c r="K10" s="10" t="s">
        <v>46</v>
      </c>
      <c r="L10" s="9">
        <v>87370.93</v>
      </c>
    </row>
    <row r="11" spans="1:13" x14ac:dyDescent="0.2">
      <c r="A11" s="11" t="s">
        <v>47</v>
      </c>
      <c r="B11" s="5">
        <v>45683</v>
      </c>
      <c r="C11" s="4" t="s">
        <v>48</v>
      </c>
      <c r="D11" s="4" t="s">
        <v>11</v>
      </c>
      <c r="E11" s="4" t="s">
        <v>40</v>
      </c>
      <c r="F11" s="4" t="s">
        <v>49</v>
      </c>
      <c r="G11" s="6">
        <v>2</v>
      </c>
      <c r="H11" s="6">
        <v>1715.66</v>
      </c>
      <c r="I11" s="6">
        <v>3431.32</v>
      </c>
      <c r="J11" s="12" t="s">
        <v>25</v>
      </c>
      <c r="K11" s="10" t="s">
        <v>50</v>
      </c>
      <c r="L11" s="9">
        <v>97048.94</v>
      </c>
    </row>
    <row r="12" spans="1:13" x14ac:dyDescent="0.2">
      <c r="A12" s="11" t="s">
        <v>51</v>
      </c>
      <c r="B12" s="5">
        <v>45740</v>
      </c>
      <c r="C12" s="4" t="s">
        <v>52</v>
      </c>
      <c r="D12" s="4" t="s">
        <v>26</v>
      </c>
      <c r="E12" s="4" t="s">
        <v>29</v>
      </c>
      <c r="F12" s="4" t="s">
        <v>30</v>
      </c>
      <c r="G12" s="6">
        <v>2</v>
      </c>
      <c r="H12" s="6">
        <v>623.01</v>
      </c>
      <c r="I12" s="6">
        <v>1246.02</v>
      </c>
      <c r="J12" s="12" t="s">
        <v>35</v>
      </c>
      <c r="K12" s="10" t="s">
        <v>31</v>
      </c>
      <c r="L12" s="9">
        <v>281931.76999999996</v>
      </c>
    </row>
    <row r="13" spans="1:13" x14ac:dyDescent="0.2">
      <c r="A13" s="11" t="s">
        <v>53</v>
      </c>
      <c r="B13" s="5">
        <v>45732</v>
      </c>
      <c r="C13" s="4" t="s">
        <v>54</v>
      </c>
      <c r="D13" s="4" t="s">
        <v>26</v>
      </c>
      <c r="E13" s="4" t="s">
        <v>23</v>
      </c>
      <c r="F13" s="4" t="s">
        <v>34</v>
      </c>
      <c r="G13" s="6">
        <v>4</v>
      </c>
      <c r="H13" s="6">
        <v>1350.36</v>
      </c>
      <c r="I13" s="6">
        <v>5401.44</v>
      </c>
      <c r="J13" s="12" t="s">
        <v>10</v>
      </c>
    </row>
    <row r="14" spans="1:13" x14ac:dyDescent="0.2">
      <c r="A14" s="11" t="s">
        <v>55</v>
      </c>
      <c r="B14" s="5">
        <v>45730</v>
      </c>
      <c r="C14" s="4" t="s">
        <v>56</v>
      </c>
      <c r="D14" s="4" t="s">
        <v>11</v>
      </c>
      <c r="E14" s="4" t="s">
        <v>8</v>
      </c>
      <c r="F14" s="4" t="s">
        <v>45</v>
      </c>
      <c r="G14" s="6">
        <v>1</v>
      </c>
      <c r="H14" s="6">
        <v>177.1</v>
      </c>
      <c r="I14" s="6">
        <v>177.1</v>
      </c>
      <c r="J14" s="12" t="s">
        <v>35</v>
      </c>
      <c r="K14" s="7" t="s">
        <v>3</v>
      </c>
      <c r="L14" t="s">
        <v>191</v>
      </c>
    </row>
    <row r="15" spans="1:13" x14ac:dyDescent="0.2">
      <c r="A15" s="11" t="s">
        <v>57</v>
      </c>
      <c r="B15" s="5">
        <v>45688</v>
      </c>
      <c r="C15" s="4" t="s">
        <v>58</v>
      </c>
      <c r="D15" s="4" t="s">
        <v>14</v>
      </c>
      <c r="E15" s="4" t="s">
        <v>19</v>
      </c>
      <c r="F15" s="4" t="s">
        <v>59</v>
      </c>
      <c r="G15" s="6">
        <v>5</v>
      </c>
      <c r="H15" s="6">
        <v>554.79999999999995</v>
      </c>
      <c r="I15" s="6">
        <v>2774</v>
      </c>
      <c r="J15" s="12" t="s">
        <v>25</v>
      </c>
      <c r="K15" s="8" t="s">
        <v>19</v>
      </c>
      <c r="L15" s="9">
        <v>68477.41</v>
      </c>
    </row>
    <row r="16" spans="1:13" x14ac:dyDescent="0.2">
      <c r="A16" s="11" t="s">
        <v>60</v>
      </c>
      <c r="B16" s="5">
        <v>45723</v>
      </c>
      <c r="C16" s="4" t="s">
        <v>61</v>
      </c>
      <c r="D16" s="4" t="s">
        <v>11</v>
      </c>
      <c r="E16" s="4" t="s">
        <v>23</v>
      </c>
      <c r="F16" s="4" t="s">
        <v>34</v>
      </c>
      <c r="G16" s="6">
        <v>2</v>
      </c>
      <c r="H16" s="6">
        <v>1892.57</v>
      </c>
      <c r="I16" s="6">
        <v>3785.14</v>
      </c>
      <c r="J16" s="12" t="s">
        <v>35</v>
      </c>
      <c r="K16" s="8" t="s">
        <v>40</v>
      </c>
      <c r="L16" s="9">
        <v>57189.46</v>
      </c>
    </row>
    <row r="17" spans="1:14" x14ac:dyDescent="0.2">
      <c r="A17" s="11" t="s">
        <v>62</v>
      </c>
      <c r="B17" s="5">
        <v>45689</v>
      </c>
      <c r="C17" s="4" t="s">
        <v>63</v>
      </c>
      <c r="D17" s="4" t="s">
        <v>26</v>
      </c>
      <c r="E17" s="4" t="s">
        <v>8</v>
      </c>
      <c r="F17" s="4" t="s">
        <v>64</v>
      </c>
      <c r="G17" s="6">
        <v>1</v>
      </c>
      <c r="H17" s="6">
        <v>519.41999999999996</v>
      </c>
      <c r="I17" s="6">
        <v>519.41999999999996</v>
      </c>
      <c r="J17" s="12" t="s">
        <v>35</v>
      </c>
      <c r="K17" s="8" t="s">
        <v>23</v>
      </c>
      <c r="L17" s="9">
        <v>56621.389999999992</v>
      </c>
    </row>
    <row r="18" spans="1:14" x14ac:dyDescent="0.2">
      <c r="A18" s="11" t="s">
        <v>65</v>
      </c>
      <c r="B18" s="5">
        <v>45739</v>
      </c>
      <c r="C18" s="4" t="s">
        <v>66</v>
      </c>
      <c r="D18" s="4" t="s">
        <v>26</v>
      </c>
      <c r="E18" s="4" t="s">
        <v>23</v>
      </c>
      <c r="F18" s="4" t="s">
        <v>67</v>
      </c>
      <c r="G18" s="6">
        <v>3</v>
      </c>
      <c r="H18" s="6">
        <v>849.72</v>
      </c>
      <c r="I18" s="6">
        <v>2549.16</v>
      </c>
      <c r="J18" s="12" t="s">
        <v>25</v>
      </c>
      <c r="K18" s="8" t="s">
        <v>8</v>
      </c>
      <c r="L18" s="9">
        <v>54502.34</v>
      </c>
    </row>
    <row r="19" spans="1:14" x14ac:dyDescent="0.2">
      <c r="A19" s="11" t="s">
        <v>68</v>
      </c>
      <c r="B19" s="5">
        <v>45708</v>
      </c>
      <c r="C19" s="4" t="s">
        <v>61</v>
      </c>
      <c r="D19" s="4" t="s">
        <v>14</v>
      </c>
      <c r="E19" s="4" t="s">
        <v>29</v>
      </c>
      <c r="F19" s="4" t="s">
        <v>30</v>
      </c>
      <c r="G19" s="6">
        <v>2</v>
      </c>
      <c r="H19" s="6">
        <v>585.1</v>
      </c>
      <c r="I19" s="6">
        <v>1170.2</v>
      </c>
      <c r="J19" s="12" t="s">
        <v>25</v>
      </c>
      <c r="K19" s="8" t="s">
        <v>29</v>
      </c>
      <c r="L19" s="9">
        <v>45141.17</v>
      </c>
    </row>
    <row r="20" spans="1:14" x14ac:dyDescent="0.2">
      <c r="A20" s="11" t="s">
        <v>69</v>
      </c>
      <c r="B20" s="5">
        <v>45676</v>
      </c>
      <c r="C20" s="4" t="s">
        <v>44</v>
      </c>
      <c r="D20" s="4" t="s">
        <v>26</v>
      </c>
      <c r="E20" s="4" t="s">
        <v>19</v>
      </c>
      <c r="F20" s="4" t="s">
        <v>59</v>
      </c>
      <c r="G20" s="6">
        <v>1</v>
      </c>
      <c r="H20" s="6">
        <v>249.18</v>
      </c>
      <c r="I20" s="6">
        <v>249.18</v>
      </c>
      <c r="J20" s="12" t="s">
        <v>16</v>
      </c>
      <c r="K20" s="8" t="s">
        <v>31</v>
      </c>
      <c r="L20" s="9">
        <v>281931.76999999996</v>
      </c>
    </row>
    <row r="21" spans="1:14" x14ac:dyDescent="0.2">
      <c r="A21" s="11" t="s">
        <v>70</v>
      </c>
      <c r="B21" s="5">
        <v>45704</v>
      </c>
      <c r="C21" s="4" t="s">
        <v>71</v>
      </c>
      <c r="D21" s="4" t="s">
        <v>14</v>
      </c>
      <c r="E21" s="4" t="s">
        <v>19</v>
      </c>
      <c r="F21" s="4" t="s">
        <v>72</v>
      </c>
      <c r="G21" s="6">
        <v>1</v>
      </c>
      <c r="H21" s="6">
        <v>278.77999999999997</v>
      </c>
      <c r="I21" s="6">
        <v>278.77999999999997</v>
      </c>
      <c r="J21" s="12" t="s">
        <v>16</v>
      </c>
    </row>
    <row r="22" spans="1:14" x14ac:dyDescent="0.2">
      <c r="A22" s="11" t="s">
        <v>73</v>
      </c>
      <c r="B22" s="5">
        <v>45723</v>
      </c>
      <c r="C22" s="4" t="s">
        <v>74</v>
      </c>
      <c r="D22" s="4" t="s">
        <v>26</v>
      </c>
      <c r="E22" s="4" t="s">
        <v>23</v>
      </c>
      <c r="F22" s="4" t="s">
        <v>75</v>
      </c>
      <c r="G22" s="6">
        <v>1</v>
      </c>
      <c r="H22" s="6">
        <v>1881.01</v>
      </c>
      <c r="I22" s="6">
        <v>1881.01</v>
      </c>
      <c r="J22" s="12" t="s">
        <v>25</v>
      </c>
      <c r="K22" s="7" t="s">
        <v>3</v>
      </c>
      <c r="L22" t="s">
        <v>191</v>
      </c>
    </row>
    <row r="23" spans="1:14" x14ac:dyDescent="0.2">
      <c r="A23" s="11" t="s">
        <v>76</v>
      </c>
      <c r="B23" s="5">
        <v>45674</v>
      </c>
      <c r="C23" s="4" t="s">
        <v>61</v>
      </c>
      <c r="D23" s="4" t="s">
        <v>11</v>
      </c>
      <c r="E23" s="4" t="s">
        <v>40</v>
      </c>
      <c r="F23" s="4" t="s">
        <v>49</v>
      </c>
      <c r="G23" s="6">
        <v>1</v>
      </c>
      <c r="H23" s="6">
        <v>832.81</v>
      </c>
      <c r="I23" s="6">
        <v>832.81</v>
      </c>
      <c r="J23" s="12" t="s">
        <v>35</v>
      </c>
      <c r="K23" s="8" t="s">
        <v>80</v>
      </c>
      <c r="L23" s="9">
        <v>23608.440000000002</v>
      </c>
    </row>
    <row r="24" spans="1:14" x14ac:dyDescent="0.2">
      <c r="A24" s="11" t="s">
        <v>77</v>
      </c>
      <c r="B24" s="5">
        <v>45696</v>
      </c>
      <c r="C24" s="4" t="s">
        <v>78</v>
      </c>
      <c r="D24" s="4" t="s">
        <v>14</v>
      </c>
      <c r="E24" s="4" t="s">
        <v>23</v>
      </c>
      <c r="F24" s="4" t="s">
        <v>34</v>
      </c>
      <c r="G24" s="6">
        <v>1</v>
      </c>
      <c r="H24" s="6">
        <v>442.07</v>
      </c>
      <c r="I24" s="6">
        <v>442.07</v>
      </c>
      <c r="J24" s="12" t="s">
        <v>10</v>
      </c>
      <c r="K24" s="8" t="s">
        <v>103</v>
      </c>
      <c r="L24" s="9">
        <v>17011.16</v>
      </c>
    </row>
    <row r="25" spans="1:14" x14ac:dyDescent="0.2">
      <c r="A25" s="11" t="s">
        <v>79</v>
      </c>
      <c r="B25" s="5">
        <v>45740</v>
      </c>
      <c r="C25" s="4" t="s">
        <v>80</v>
      </c>
      <c r="D25" s="4" t="s">
        <v>14</v>
      </c>
      <c r="E25" s="4" t="s">
        <v>19</v>
      </c>
      <c r="F25" s="4" t="s">
        <v>72</v>
      </c>
      <c r="G25" s="6">
        <v>5</v>
      </c>
      <c r="H25" s="6">
        <v>747.22</v>
      </c>
      <c r="I25" s="6">
        <v>3736.1</v>
      </c>
      <c r="J25" s="12" t="s">
        <v>16</v>
      </c>
      <c r="K25" s="8" t="s">
        <v>18</v>
      </c>
      <c r="L25" s="9">
        <v>16825.89</v>
      </c>
    </row>
    <row r="26" spans="1:14" x14ac:dyDescent="0.2">
      <c r="A26" s="11" t="s">
        <v>81</v>
      </c>
      <c r="B26" s="5">
        <v>45663</v>
      </c>
      <c r="C26" s="4" t="s">
        <v>82</v>
      </c>
      <c r="D26" s="4" t="s">
        <v>11</v>
      </c>
      <c r="E26" s="4" t="s">
        <v>29</v>
      </c>
      <c r="F26" s="4" t="s">
        <v>83</v>
      </c>
      <c r="G26" s="6">
        <v>5</v>
      </c>
      <c r="H26" s="6">
        <v>308.52999999999997</v>
      </c>
      <c r="I26" s="6">
        <v>1542.65</v>
      </c>
      <c r="J26" s="12" t="s">
        <v>10</v>
      </c>
      <c r="K26" s="8" t="s">
        <v>48</v>
      </c>
      <c r="L26" s="9">
        <v>16812.04</v>
      </c>
    </row>
    <row r="27" spans="1:14" x14ac:dyDescent="0.2">
      <c r="A27" s="11" t="s">
        <v>84</v>
      </c>
      <c r="B27" s="5">
        <v>45729</v>
      </c>
      <c r="C27" s="4" t="s">
        <v>85</v>
      </c>
      <c r="D27" s="4" t="s">
        <v>14</v>
      </c>
      <c r="E27" s="4" t="s">
        <v>29</v>
      </c>
      <c r="F27" s="4" t="s">
        <v>86</v>
      </c>
      <c r="G27" s="6">
        <v>3</v>
      </c>
      <c r="H27" s="6">
        <v>1614.38</v>
      </c>
      <c r="I27" s="6">
        <v>4843.1400000000003</v>
      </c>
      <c r="J27" s="12" t="s">
        <v>25</v>
      </c>
      <c r="K27" s="8" t="s">
        <v>82</v>
      </c>
      <c r="L27" s="9">
        <v>16203.890000000001</v>
      </c>
    </row>
    <row r="28" spans="1:14" x14ac:dyDescent="0.2">
      <c r="A28" s="11" t="s">
        <v>87</v>
      </c>
      <c r="B28" s="5">
        <v>45671</v>
      </c>
      <c r="C28" s="4" t="s">
        <v>74</v>
      </c>
      <c r="D28" s="4" t="s">
        <v>7</v>
      </c>
      <c r="E28" s="4" t="s">
        <v>23</v>
      </c>
      <c r="F28" s="4" t="s">
        <v>34</v>
      </c>
      <c r="G28" s="6">
        <v>1</v>
      </c>
      <c r="H28" s="6">
        <v>579.84</v>
      </c>
      <c r="I28" s="6">
        <v>579.84</v>
      </c>
      <c r="J28" s="12" t="s">
        <v>16</v>
      </c>
      <c r="K28" s="8" t="s">
        <v>126</v>
      </c>
      <c r="L28" s="9">
        <v>14972.13</v>
      </c>
    </row>
    <row r="29" spans="1:14" x14ac:dyDescent="0.2">
      <c r="A29" s="11" t="s">
        <v>88</v>
      </c>
      <c r="B29" s="5">
        <v>45700</v>
      </c>
      <c r="C29" s="4" t="s">
        <v>80</v>
      </c>
      <c r="D29" s="4" t="s">
        <v>7</v>
      </c>
      <c r="E29" s="4" t="s">
        <v>23</v>
      </c>
      <c r="F29" s="4" t="s">
        <v>67</v>
      </c>
      <c r="G29" s="6">
        <v>5</v>
      </c>
      <c r="H29" s="6">
        <v>1969.89</v>
      </c>
      <c r="I29" s="6">
        <v>9849.4500000000007</v>
      </c>
      <c r="J29" s="12" t="s">
        <v>10</v>
      </c>
      <c r="K29" s="8" t="s">
        <v>39</v>
      </c>
      <c r="L29" s="9">
        <v>11452.130000000001</v>
      </c>
    </row>
    <row r="30" spans="1:14" x14ac:dyDescent="0.2">
      <c r="A30" s="11" t="s">
        <v>89</v>
      </c>
      <c r="B30" s="5">
        <v>45677</v>
      </c>
      <c r="C30" s="4" t="s">
        <v>90</v>
      </c>
      <c r="D30" s="4" t="s">
        <v>11</v>
      </c>
      <c r="E30" s="4" t="s">
        <v>19</v>
      </c>
      <c r="F30" s="4" t="s">
        <v>72</v>
      </c>
      <c r="G30" s="6">
        <v>5</v>
      </c>
      <c r="H30" s="6">
        <v>1521.15</v>
      </c>
      <c r="I30" s="6">
        <v>7605.75</v>
      </c>
      <c r="J30" s="12" t="s">
        <v>35</v>
      </c>
      <c r="K30" s="8" t="s">
        <v>61</v>
      </c>
      <c r="L30" s="9">
        <v>10010.67</v>
      </c>
      <c r="M30" s="8"/>
      <c r="N30" s="9"/>
    </row>
    <row r="31" spans="1:14" x14ac:dyDescent="0.2">
      <c r="A31" s="11" t="s">
        <v>91</v>
      </c>
      <c r="B31" s="5">
        <v>45742</v>
      </c>
      <c r="C31" s="4" t="s">
        <v>92</v>
      </c>
      <c r="D31" s="4" t="s">
        <v>11</v>
      </c>
      <c r="E31" s="4" t="s">
        <v>40</v>
      </c>
      <c r="F31" s="4" t="s">
        <v>93</v>
      </c>
      <c r="G31" s="6">
        <v>1</v>
      </c>
      <c r="H31" s="6">
        <v>543.54</v>
      </c>
      <c r="I31" s="6">
        <v>543.54</v>
      </c>
      <c r="J31" s="12" t="s">
        <v>35</v>
      </c>
      <c r="K31" s="8" t="s">
        <v>110</v>
      </c>
      <c r="L31" s="9">
        <v>9917.76</v>
      </c>
      <c r="M31" s="8"/>
      <c r="N31" s="9"/>
    </row>
    <row r="32" spans="1:14" x14ac:dyDescent="0.2">
      <c r="A32" s="11" t="s">
        <v>94</v>
      </c>
      <c r="B32" s="5">
        <v>45663</v>
      </c>
      <c r="C32" s="4" t="s">
        <v>48</v>
      </c>
      <c r="D32" s="4" t="s">
        <v>11</v>
      </c>
      <c r="E32" s="4" t="s">
        <v>29</v>
      </c>
      <c r="F32" s="4" t="s">
        <v>95</v>
      </c>
      <c r="G32" s="6">
        <v>2</v>
      </c>
      <c r="H32" s="6">
        <v>1759.98</v>
      </c>
      <c r="I32" s="6">
        <v>3519.96</v>
      </c>
      <c r="J32" s="12" t="s">
        <v>16</v>
      </c>
      <c r="K32" s="8" t="s">
        <v>122</v>
      </c>
      <c r="L32" s="9">
        <v>9683.2900000000009</v>
      </c>
      <c r="M32" s="8"/>
      <c r="N32" s="9"/>
    </row>
    <row r="33" spans="1:14" x14ac:dyDescent="0.2">
      <c r="A33" s="11" t="s">
        <v>96</v>
      </c>
      <c r="B33" s="5">
        <v>45730</v>
      </c>
      <c r="C33" s="4" t="s">
        <v>28</v>
      </c>
      <c r="D33" s="4" t="s">
        <v>7</v>
      </c>
      <c r="E33" s="4" t="s">
        <v>19</v>
      </c>
      <c r="F33" s="4" t="s">
        <v>59</v>
      </c>
      <c r="G33" s="6">
        <v>2</v>
      </c>
      <c r="H33" s="6">
        <v>352.9</v>
      </c>
      <c r="I33" s="6">
        <v>705.8</v>
      </c>
      <c r="J33" s="12" t="s">
        <v>25</v>
      </c>
      <c r="K33" s="8" t="s">
        <v>31</v>
      </c>
      <c r="L33" s="9">
        <v>146497.40000000002</v>
      </c>
      <c r="M33" s="8"/>
      <c r="N33" s="9"/>
    </row>
    <row r="34" spans="1:14" x14ac:dyDescent="0.2">
      <c r="A34" s="11" t="s">
        <v>97</v>
      </c>
      <c r="B34" s="5">
        <v>45670</v>
      </c>
      <c r="C34" s="4" t="s">
        <v>61</v>
      </c>
      <c r="D34" s="4" t="s">
        <v>11</v>
      </c>
      <c r="E34" s="4" t="s">
        <v>23</v>
      </c>
      <c r="F34" s="4" t="s">
        <v>75</v>
      </c>
      <c r="G34" s="6">
        <v>4</v>
      </c>
      <c r="H34" s="6">
        <v>1055.6300000000001</v>
      </c>
      <c r="I34" s="6">
        <v>4222.5200000000004</v>
      </c>
      <c r="J34" s="12" t="s">
        <v>16</v>
      </c>
      <c r="M34" s="8"/>
      <c r="N34" s="9"/>
    </row>
    <row r="35" spans="1:14" x14ac:dyDescent="0.2">
      <c r="A35" s="11" t="s">
        <v>98</v>
      </c>
      <c r="B35" s="5">
        <v>45686</v>
      </c>
      <c r="C35" s="4" t="s">
        <v>99</v>
      </c>
      <c r="D35" s="4" t="s">
        <v>26</v>
      </c>
      <c r="E35" s="4" t="s">
        <v>19</v>
      </c>
      <c r="F35" s="4" t="s">
        <v>20</v>
      </c>
      <c r="G35" s="6">
        <v>1</v>
      </c>
      <c r="H35" s="6">
        <v>1882.25</v>
      </c>
      <c r="I35" s="6">
        <v>1882.25</v>
      </c>
      <c r="J35" s="12" t="s">
        <v>16</v>
      </c>
      <c r="K35" s="7" t="s">
        <v>3</v>
      </c>
      <c r="L35" t="s">
        <v>191</v>
      </c>
      <c r="N35" s="9"/>
    </row>
    <row r="36" spans="1:14" x14ac:dyDescent="0.2">
      <c r="A36" s="11" t="s">
        <v>100</v>
      </c>
      <c r="B36" s="5">
        <v>45681</v>
      </c>
      <c r="C36" s="4" t="s">
        <v>63</v>
      </c>
      <c r="D36" s="4" t="s">
        <v>26</v>
      </c>
      <c r="E36" s="4" t="s">
        <v>40</v>
      </c>
      <c r="F36" s="4" t="s">
        <v>41</v>
      </c>
      <c r="G36" s="6">
        <v>1</v>
      </c>
      <c r="H36" s="6">
        <v>675.02</v>
      </c>
      <c r="I36" s="6">
        <v>675.02</v>
      </c>
      <c r="J36" s="12" t="s">
        <v>35</v>
      </c>
      <c r="K36" s="8" t="s">
        <v>16</v>
      </c>
      <c r="L36" s="9">
        <v>99378.989999999976</v>
      </c>
      <c r="N36" s="9"/>
    </row>
    <row r="37" spans="1:14" x14ac:dyDescent="0.2">
      <c r="A37" s="11" t="s">
        <v>101</v>
      </c>
      <c r="B37" s="5">
        <v>45722</v>
      </c>
      <c r="C37" s="4" t="s">
        <v>44</v>
      </c>
      <c r="D37" s="4" t="s">
        <v>7</v>
      </c>
      <c r="E37" s="4" t="s">
        <v>8</v>
      </c>
      <c r="F37" s="4" t="s">
        <v>64</v>
      </c>
      <c r="G37" s="6">
        <v>1</v>
      </c>
      <c r="H37" s="6">
        <v>681.52</v>
      </c>
      <c r="I37" s="6">
        <v>681.52</v>
      </c>
      <c r="J37" s="12" t="s">
        <v>16</v>
      </c>
      <c r="K37" s="8" t="s">
        <v>35</v>
      </c>
      <c r="L37" s="9">
        <v>88047.560000000012</v>
      </c>
      <c r="N37" s="9"/>
    </row>
    <row r="38" spans="1:14" x14ac:dyDescent="0.2">
      <c r="A38" s="11" t="s">
        <v>102</v>
      </c>
      <c r="B38" s="5">
        <v>45684</v>
      </c>
      <c r="C38" s="4" t="s">
        <v>103</v>
      </c>
      <c r="D38" s="4" t="s">
        <v>26</v>
      </c>
      <c r="E38" s="4" t="s">
        <v>19</v>
      </c>
      <c r="F38" s="4" t="s">
        <v>72</v>
      </c>
      <c r="G38" s="6">
        <v>5</v>
      </c>
      <c r="H38" s="6">
        <v>470.19</v>
      </c>
      <c r="I38" s="6">
        <v>2350.9499999999998</v>
      </c>
      <c r="J38" s="12" t="s">
        <v>25</v>
      </c>
      <c r="K38" s="8" t="s">
        <v>25</v>
      </c>
      <c r="L38" s="9">
        <v>53230.34</v>
      </c>
      <c r="N38" s="9"/>
    </row>
    <row r="39" spans="1:14" x14ac:dyDescent="0.2">
      <c r="A39" s="11" t="s">
        <v>104</v>
      </c>
      <c r="B39" s="5">
        <v>45731</v>
      </c>
      <c r="C39" s="4" t="s">
        <v>6</v>
      </c>
      <c r="D39" s="4" t="s">
        <v>14</v>
      </c>
      <c r="E39" s="4" t="s">
        <v>29</v>
      </c>
      <c r="F39" s="4" t="s">
        <v>30</v>
      </c>
      <c r="G39" s="6">
        <v>5</v>
      </c>
      <c r="H39" s="6">
        <v>491.62</v>
      </c>
      <c r="I39" s="6">
        <v>2458.1</v>
      </c>
      <c r="J39" s="12" t="s">
        <v>16</v>
      </c>
      <c r="K39" s="8" t="s">
        <v>10</v>
      </c>
      <c r="L39" s="9">
        <v>41274.879999999997</v>
      </c>
      <c r="N39" s="9"/>
    </row>
    <row r="40" spans="1:14" x14ac:dyDescent="0.2">
      <c r="A40" s="11" t="s">
        <v>105</v>
      </c>
      <c r="B40" s="5">
        <v>45747</v>
      </c>
      <c r="C40" s="4" t="s">
        <v>48</v>
      </c>
      <c r="D40" s="4" t="s">
        <v>11</v>
      </c>
      <c r="E40" s="4" t="s">
        <v>8</v>
      </c>
      <c r="F40" s="4" t="s">
        <v>15</v>
      </c>
      <c r="G40" s="6">
        <v>2</v>
      </c>
      <c r="H40" s="6">
        <v>935.43</v>
      </c>
      <c r="I40" s="6">
        <v>1870.86</v>
      </c>
      <c r="J40" s="12" t="s">
        <v>25</v>
      </c>
      <c r="K40" s="8" t="s">
        <v>31</v>
      </c>
      <c r="L40" s="9">
        <v>281931.76999999996</v>
      </c>
      <c r="N40" s="9"/>
    </row>
    <row r="41" spans="1:14" x14ac:dyDescent="0.2">
      <c r="A41" s="11" t="s">
        <v>106</v>
      </c>
      <c r="B41" s="5">
        <v>45707</v>
      </c>
      <c r="C41" s="4" t="s">
        <v>103</v>
      </c>
      <c r="D41" s="4" t="s">
        <v>11</v>
      </c>
      <c r="E41" s="4" t="s">
        <v>29</v>
      </c>
      <c r="F41" s="4" t="s">
        <v>83</v>
      </c>
      <c r="G41" s="6">
        <v>4</v>
      </c>
      <c r="H41" s="6">
        <v>1763.06</v>
      </c>
      <c r="I41" s="6">
        <v>7052.24</v>
      </c>
      <c r="J41" s="12" t="s">
        <v>16</v>
      </c>
      <c r="N41" s="9"/>
    </row>
    <row r="42" spans="1:14" x14ac:dyDescent="0.2">
      <c r="A42" s="11" t="s">
        <v>107</v>
      </c>
      <c r="B42" s="5">
        <v>45727</v>
      </c>
      <c r="C42" s="4" t="s">
        <v>108</v>
      </c>
      <c r="D42" s="4" t="s">
        <v>11</v>
      </c>
      <c r="E42" s="4" t="s">
        <v>40</v>
      </c>
      <c r="F42" s="4" t="s">
        <v>41</v>
      </c>
      <c r="G42" s="6">
        <v>3</v>
      </c>
      <c r="H42" s="6">
        <v>271.89</v>
      </c>
      <c r="I42" s="6">
        <v>815.67</v>
      </c>
      <c r="J42" s="12" t="s">
        <v>10</v>
      </c>
      <c r="N42" s="9"/>
    </row>
    <row r="43" spans="1:14" x14ac:dyDescent="0.2">
      <c r="A43" s="11" t="s">
        <v>109</v>
      </c>
      <c r="B43" s="5">
        <v>45661</v>
      </c>
      <c r="C43" s="4" t="s">
        <v>110</v>
      </c>
      <c r="D43" s="4" t="s">
        <v>7</v>
      </c>
      <c r="E43" s="4" t="s">
        <v>19</v>
      </c>
      <c r="F43" s="4" t="s">
        <v>59</v>
      </c>
      <c r="G43" s="6">
        <v>4</v>
      </c>
      <c r="H43" s="6">
        <v>685.29</v>
      </c>
      <c r="I43" s="6">
        <v>2741.16</v>
      </c>
      <c r="J43" s="12" t="s">
        <v>10</v>
      </c>
      <c r="N43" s="9"/>
    </row>
    <row r="44" spans="1:14" x14ac:dyDescent="0.2">
      <c r="A44" s="11" t="s">
        <v>111</v>
      </c>
      <c r="B44" s="5">
        <v>45665</v>
      </c>
      <c r="C44" s="4" t="s">
        <v>44</v>
      </c>
      <c r="D44" s="4" t="s">
        <v>11</v>
      </c>
      <c r="E44" s="4" t="s">
        <v>23</v>
      </c>
      <c r="F44" s="4" t="s">
        <v>34</v>
      </c>
      <c r="G44" s="6">
        <v>2</v>
      </c>
      <c r="H44" s="6">
        <v>829.52</v>
      </c>
      <c r="I44" s="6">
        <v>1659.04</v>
      </c>
      <c r="J44" s="12" t="s">
        <v>10</v>
      </c>
      <c r="N44" s="9"/>
    </row>
    <row r="45" spans="1:14" x14ac:dyDescent="0.2">
      <c r="A45" s="11" t="s">
        <v>112</v>
      </c>
      <c r="B45" s="5">
        <v>45746</v>
      </c>
      <c r="C45" s="4" t="s">
        <v>110</v>
      </c>
      <c r="D45" s="4" t="s">
        <v>11</v>
      </c>
      <c r="E45" s="4" t="s">
        <v>40</v>
      </c>
      <c r="F45" s="4" t="s">
        <v>41</v>
      </c>
      <c r="G45" s="6">
        <v>5</v>
      </c>
      <c r="H45" s="6">
        <v>1435.32</v>
      </c>
      <c r="I45" s="6">
        <v>7176.6</v>
      </c>
      <c r="J45" s="12" t="s">
        <v>35</v>
      </c>
      <c r="N45" s="9"/>
    </row>
    <row r="46" spans="1:14" x14ac:dyDescent="0.2">
      <c r="A46" s="11" t="s">
        <v>113</v>
      </c>
      <c r="B46" s="5">
        <v>45709</v>
      </c>
      <c r="C46" s="4" t="s">
        <v>114</v>
      </c>
      <c r="D46" s="4" t="s">
        <v>26</v>
      </c>
      <c r="E46" s="4" t="s">
        <v>19</v>
      </c>
      <c r="F46" s="4" t="s">
        <v>20</v>
      </c>
      <c r="G46" s="6">
        <v>2</v>
      </c>
      <c r="H46" s="6">
        <v>1691.74</v>
      </c>
      <c r="I46" s="6">
        <v>3383.48</v>
      </c>
      <c r="J46" s="12" t="s">
        <v>25</v>
      </c>
      <c r="N46" s="9"/>
    </row>
    <row r="47" spans="1:14" x14ac:dyDescent="0.2">
      <c r="A47" s="11" t="s">
        <v>115</v>
      </c>
      <c r="B47" s="5">
        <v>45740</v>
      </c>
      <c r="C47" s="4" t="s">
        <v>116</v>
      </c>
      <c r="D47" s="4" t="s">
        <v>26</v>
      </c>
      <c r="E47" s="4" t="s">
        <v>8</v>
      </c>
      <c r="F47" s="4" t="s">
        <v>45</v>
      </c>
      <c r="G47" s="6">
        <v>5</v>
      </c>
      <c r="H47" s="6">
        <v>1493.38</v>
      </c>
      <c r="I47" s="6">
        <v>7466.9</v>
      </c>
      <c r="J47" s="12" t="s">
        <v>35</v>
      </c>
      <c r="N47" s="9"/>
    </row>
    <row r="48" spans="1:14" x14ac:dyDescent="0.2">
      <c r="A48" s="11" t="s">
        <v>117</v>
      </c>
      <c r="B48" s="5">
        <v>45680</v>
      </c>
      <c r="C48" s="4" t="s">
        <v>118</v>
      </c>
      <c r="D48" s="4" t="s">
        <v>26</v>
      </c>
      <c r="E48" s="4" t="s">
        <v>19</v>
      </c>
      <c r="F48" s="4" t="s">
        <v>119</v>
      </c>
      <c r="G48" s="6">
        <v>1</v>
      </c>
      <c r="H48" s="6">
        <v>882.37</v>
      </c>
      <c r="I48" s="6">
        <v>882.37</v>
      </c>
      <c r="J48" s="12" t="s">
        <v>35</v>
      </c>
      <c r="N48" s="9"/>
    </row>
    <row r="49" spans="1:14" x14ac:dyDescent="0.2">
      <c r="A49" s="11" t="s">
        <v>120</v>
      </c>
      <c r="B49" s="5">
        <v>45664</v>
      </c>
      <c r="C49" s="4" t="s">
        <v>82</v>
      </c>
      <c r="D49" s="4" t="s">
        <v>7</v>
      </c>
      <c r="E49" s="4" t="s">
        <v>19</v>
      </c>
      <c r="F49" s="4" t="s">
        <v>72</v>
      </c>
      <c r="G49" s="6">
        <v>4</v>
      </c>
      <c r="H49" s="6">
        <v>1980.24</v>
      </c>
      <c r="I49" s="6">
        <v>7920.96</v>
      </c>
      <c r="J49" s="12" t="s">
        <v>35</v>
      </c>
      <c r="N49" s="9"/>
    </row>
    <row r="50" spans="1:14" x14ac:dyDescent="0.2">
      <c r="A50" s="11" t="s">
        <v>121</v>
      </c>
      <c r="B50" s="5">
        <v>45698</v>
      </c>
      <c r="C50" s="4" t="s">
        <v>122</v>
      </c>
      <c r="D50" s="4" t="s">
        <v>26</v>
      </c>
      <c r="E50" s="4" t="s">
        <v>8</v>
      </c>
      <c r="F50" s="4" t="s">
        <v>15</v>
      </c>
      <c r="G50" s="6">
        <v>5</v>
      </c>
      <c r="H50" s="6">
        <v>619.09</v>
      </c>
      <c r="I50" s="6">
        <v>3095.45</v>
      </c>
      <c r="J50" s="12" t="s">
        <v>16</v>
      </c>
      <c r="N50" s="9"/>
    </row>
    <row r="51" spans="1:14" x14ac:dyDescent="0.2">
      <c r="A51" s="11" t="s">
        <v>123</v>
      </c>
      <c r="B51" s="5">
        <v>45668</v>
      </c>
      <c r="C51" s="4" t="s">
        <v>82</v>
      </c>
      <c r="D51" s="4" t="s">
        <v>7</v>
      </c>
      <c r="E51" s="4" t="s">
        <v>29</v>
      </c>
      <c r="F51" s="4" t="s">
        <v>86</v>
      </c>
      <c r="G51" s="6">
        <v>1</v>
      </c>
      <c r="H51" s="6">
        <v>1532.28</v>
      </c>
      <c r="I51" s="6">
        <v>1532.28</v>
      </c>
      <c r="J51" s="12" t="s">
        <v>16</v>
      </c>
      <c r="N51" s="9"/>
    </row>
    <row r="52" spans="1:14" x14ac:dyDescent="0.2">
      <c r="A52" s="11" t="s">
        <v>124</v>
      </c>
      <c r="B52" s="5">
        <v>45704</v>
      </c>
      <c r="C52" s="4" t="s">
        <v>80</v>
      </c>
      <c r="D52" s="4" t="s">
        <v>7</v>
      </c>
      <c r="E52" s="4" t="s">
        <v>19</v>
      </c>
      <c r="F52" s="4" t="s">
        <v>72</v>
      </c>
      <c r="G52" s="6">
        <v>2</v>
      </c>
      <c r="H52" s="6">
        <v>1154.45</v>
      </c>
      <c r="I52" s="6">
        <v>2308.9</v>
      </c>
      <c r="J52" s="12" t="s">
        <v>16</v>
      </c>
      <c r="N52" s="9"/>
    </row>
    <row r="53" spans="1:14" x14ac:dyDescent="0.2">
      <c r="A53" s="11" t="s">
        <v>125</v>
      </c>
      <c r="B53" s="5">
        <v>45670</v>
      </c>
      <c r="C53" s="4" t="s">
        <v>126</v>
      </c>
      <c r="D53" s="4" t="s">
        <v>26</v>
      </c>
      <c r="E53" s="4" t="s">
        <v>23</v>
      </c>
      <c r="F53" s="4" t="s">
        <v>34</v>
      </c>
      <c r="G53" s="6">
        <v>1</v>
      </c>
      <c r="H53" s="6">
        <v>503.72</v>
      </c>
      <c r="I53" s="6">
        <v>503.72</v>
      </c>
      <c r="J53" s="12" t="s">
        <v>10</v>
      </c>
      <c r="M53" s="8"/>
      <c r="N53" s="9"/>
    </row>
    <row r="54" spans="1:14" x14ac:dyDescent="0.2">
      <c r="A54" s="11" t="s">
        <v>127</v>
      </c>
      <c r="B54" s="5">
        <v>45733</v>
      </c>
      <c r="C54" s="4" t="s">
        <v>128</v>
      </c>
      <c r="D54" s="4" t="s">
        <v>11</v>
      </c>
      <c r="E54" s="4" t="s">
        <v>29</v>
      </c>
      <c r="F54" s="4" t="s">
        <v>86</v>
      </c>
      <c r="G54" s="6">
        <v>5</v>
      </c>
      <c r="H54" s="6">
        <v>1241.03</v>
      </c>
      <c r="I54" s="6">
        <v>6205.15</v>
      </c>
      <c r="J54" s="12" t="s">
        <v>16</v>
      </c>
      <c r="M54" s="8"/>
      <c r="N54" s="9"/>
    </row>
    <row r="55" spans="1:14" x14ac:dyDescent="0.2">
      <c r="A55" s="11" t="s">
        <v>129</v>
      </c>
      <c r="B55" s="5">
        <v>45703</v>
      </c>
      <c r="C55" s="4" t="s">
        <v>130</v>
      </c>
      <c r="D55" s="4" t="s">
        <v>11</v>
      </c>
      <c r="E55" s="4" t="s">
        <v>40</v>
      </c>
      <c r="F55" s="4" t="s">
        <v>131</v>
      </c>
      <c r="G55" s="6">
        <v>5</v>
      </c>
      <c r="H55" s="6">
        <v>1742.24</v>
      </c>
      <c r="I55" s="6">
        <v>8711.2000000000007</v>
      </c>
      <c r="J55" s="12" t="s">
        <v>35</v>
      </c>
      <c r="M55" s="8"/>
      <c r="N55" s="9"/>
    </row>
    <row r="56" spans="1:14" x14ac:dyDescent="0.2">
      <c r="A56" s="11" t="s">
        <v>132</v>
      </c>
      <c r="B56" s="5">
        <v>45696</v>
      </c>
      <c r="C56" s="4" t="s">
        <v>118</v>
      </c>
      <c r="D56" s="4" t="s">
        <v>14</v>
      </c>
      <c r="E56" s="4" t="s">
        <v>8</v>
      </c>
      <c r="F56" s="4" t="s">
        <v>15</v>
      </c>
      <c r="G56" s="6">
        <v>4</v>
      </c>
      <c r="H56" s="6">
        <v>1384.44</v>
      </c>
      <c r="I56" s="6">
        <v>5537.76</v>
      </c>
      <c r="J56" s="12" t="s">
        <v>16</v>
      </c>
      <c r="M56" s="8"/>
      <c r="N56" s="9"/>
    </row>
    <row r="57" spans="1:14" x14ac:dyDescent="0.2">
      <c r="A57" s="11" t="s">
        <v>133</v>
      </c>
      <c r="B57" s="5">
        <v>45682</v>
      </c>
      <c r="C57" s="4" t="s">
        <v>134</v>
      </c>
      <c r="D57" s="4" t="s">
        <v>11</v>
      </c>
      <c r="E57" s="4" t="s">
        <v>23</v>
      </c>
      <c r="F57" s="4" t="s">
        <v>24</v>
      </c>
      <c r="G57" s="6">
        <v>5</v>
      </c>
      <c r="H57" s="6">
        <v>350.92</v>
      </c>
      <c r="I57" s="6">
        <v>1754.6</v>
      </c>
      <c r="J57" s="12" t="s">
        <v>25</v>
      </c>
      <c r="M57" s="8"/>
      <c r="N57" s="9"/>
    </row>
    <row r="58" spans="1:14" x14ac:dyDescent="0.2">
      <c r="A58" s="11" t="s">
        <v>135</v>
      </c>
      <c r="B58" s="5">
        <v>45674</v>
      </c>
      <c r="C58" s="4" t="s">
        <v>99</v>
      </c>
      <c r="D58" s="4" t="s">
        <v>7</v>
      </c>
      <c r="E58" s="4" t="s">
        <v>19</v>
      </c>
      <c r="F58" s="4" t="s">
        <v>59</v>
      </c>
      <c r="G58" s="6">
        <v>1</v>
      </c>
      <c r="H58" s="6">
        <v>1249.28</v>
      </c>
      <c r="I58" s="6">
        <v>1249.28</v>
      </c>
      <c r="J58" s="12" t="s">
        <v>25</v>
      </c>
      <c r="M58" s="8"/>
      <c r="N58" s="9"/>
    </row>
    <row r="59" spans="1:14" x14ac:dyDescent="0.2">
      <c r="A59" s="11" t="s">
        <v>136</v>
      </c>
      <c r="B59" s="5">
        <v>45707</v>
      </c>
      <c r="C59" s="4" t="s">
        <v>39</v>
      </c>
      <c r="D59" s="4" t="s">
        <v>11</v>
      </c>
      <c r="E59" s="4" t="s">
        <v>40</v>
      </c>
      <c r="F59" s="4" t="s">
        <v>41</v>
      </c>
      <c r="G59" s="6">
        <v>2</v>
      </c>
      <c r="H59" s="6">
        <v>1416.19</v>
      </c>
      <c r="I59" s="6">
        <v>2832.38</v>
      </c>
      <c r="J59" s="12" t="s">
        <v>16</v>
      </c>
      <c r="M59" s="8"/>
      <c r="N59" s="9"/>
    </row>
    <row r="60" spans="1:14" x14ac:dyDescent="0.2">
      <c r="A60" s="11" t="s">
        <v>137</v>
      </c>
      <c r="B60" s="5">
        <v>45734</v>
      </c>
      <c r="C60" s="4" t="s">
        <v>138</v>
      </c>
      <c r="D60" s="4" t="s">
        <v>26</v>
      </c>
      <c r="E60" s="4" t="s">
        <v>19</v>
      </c>
      <c r="F60" s="4" t="s">
        <v>59</v>
      </c>
      <c r="G60" s="6">
        <v>2</v>
      </c>
      <c r="H60" s="6">
        <v>539.32000000000005</v>
      </c>
      <c r="I60" s="6">
        <v>1078.6400000000001</v>
      </c>
      <c r="J60" s="12" t="s">
        <v>25</v>
      </c>
      <c r="M60" s="8"/>
      <c r="N60" s="9"/>
    </row>
    <row r="61" spans="1:14" x14ac:dyDescent="0.2">
      <c r="A61" s="11" t="s">
        <v>139</v>
      </c>
      <c r="B61" s="5">
        <v>45686</v>
      </c>
      <c r="C61" s="4" t="s">
        <v>82</v>
      </c>
      <c r="D61" s="4" t="s">
        <v>7</v>
      </c>
      <c r="E61" s="4" t="s">
        <v>8</v>
      </c>
      <c r="F61" s="4" t="s">
        <v>15</v>
      </c>
      <c r="G61" s="6">
        <v>5</v>
      </c>
      <c r="H61" s="6">
        <v>1041.5999999999999</v>
      </c>
      <c r="I61" s="6">
        <v>5208</v>
      </c>
      <c r="J61" s="12" t="s">
        <v>35</v>
      </c>
      <c r="M61" s="8"/>
      <c r="N61" s="9"/>
    </row>
    <row r="62" spans="1:14" x14ac:dyDescent="0.2">
      <c r="A62" s="11" t="s">
        <v>140</v>
      </c>
      <c r="B62" s="5">
        <v>45702</v>
      </c>
      <c r="C62" s="4" t="s">
        <v>18</v>
      </c>
      <c r="D62" s="4" t="s">
        <v>11</v>
      </c>
      <c r="E62" s="4" t="s">
        <v>40</v>
      </c>
      <c r="F62" s="4" t="s">
        <v>49</v>
      </c>
      <c r="G62" s="6">
        <v>2</v>
      </c>
      <c r="H62" s="6">
        <v>1379.98</v>
      </c>
      <c r="I62" s="6">
        <v>2759.96</v>
      </c>
      <c r="J62" s="12" t="s">
        <v>25</v>
      </c>
      <c r="M62" s="8"/>
      <c r="N62" s="9"/>
    </row>
    <row r="63" spans="1:14" x14ac:dyDescent="0.2">
      <c r="A63" s="11" t="s">
        <v>141</v>
      </c>
      <c r="B63" s="5">
        <v>45708</v>
      </c>
      <c r="C63" s="4" t="s">
        <v>122</v>
      </c>
      <c r="D63" s="4" t="s">
        <v>26</v>
      </c>
      <c r="E63" s="4" t="s">
        <v>23</v>
      </c>
      <c r="F63" s="4" t="s">
        <v>24</v>
      </c>
      <c r="G63" s="6">
        <v>1</v>
      </c>
      <c r="H63" s="6">
        <v>1106.24</v>
      </c>
      <c r="I63" s="6">
        <v>1106.24</v>
      </c>
      <c r="J63" s="12" t="s">
        <v>16</v>
      </c>
      <c r="M63" s="8"/>
      <c r="N63" s="9"/>
    </row>
    <row r="64" spans="1:14" x14ac:dyDescent="0.2">
      <c r="A64" s="11" t="s">
        <v>142</v>
      </c>
      <c r="B64" s="5">
        <v>45670</v>
      </c>
      <c r="C64" s="4" t="s">
        <v>56</v>
      </c>
      <c r="D64" s="4" t="s">
        <v>11</v>
      </c>
      <c r="E64" s="4" t="s">
        <v>8</v>
      </c>
      <c r="F64" s="4" t="s">
        <v>64</v>
      </c>
      <c r="G64" s="6">
        <v>1</v>
      </c>
      <c r="H64" s="6">
        <v>666.09</v>
      </c>
      <c r="I64" s="6">
        <v>666.09</v>
      </c>
      <c r="J64" s="12" t="s">
        <v>25</v>
      </c>
      <c r="M64" s="8"/>
      <c r="N64" s="9"/>
    </row>
    <row r="65" spans="1:14" x14ac:dyDescent="0.2">
      <c r="A65" s="11" t="s">
        <v>143</v>
      </c>
      <c r="B65" s="5">
        <v>45699</v>
      </c>
      <c r="C65" s="4" t="s">
        <v>66</v>
      </c>
      <c r="D65" s="4" t="s">
        <v>7</v>
      </c>
      <c r="E65" s="4" t="s">
        <v>29</v>
      </c>
      <c r="F65" s="4" t="s">
        <v>30</v>
      </c>
      <c r="G65" s="6">
        <v>2</v>
      </c>
      <c r="H65" s="6">
        <v>322.93</v>
      </c>
      <c r="I65" s="6">
        <v>645.86</v>
      </c>
      <c r="J65" s="12" t="s">
        <v>25</v>
      </c>
      <c r="M65" s="8"/>
      <c r="N65" s="9"/>
    </row>
    <row r="66" spans="1:14" x14ac:dyDescent="0.2">
      <c r="A66" s="11" t="s">
        <v>144</v>
      </c>
      <c r="B66" s="5">
        <v>45719</v>
      </c>
      <c r="C66" s="4" t="s">
        <v>85</v>
      </c>
      <c r="D66" s="4" t="s">
        <v>7</v>
      </c>
      <c r="E66" s="4" t="s">
        <v>29</v>
      </c>
      <c r="F66" s="4" t="s">
        <v>95</v>
      </c>
      <c r="G66" s="6">
        <v>1</v>
      </c>
      <c r="H66" s="6">
        <v>1011.75</v>
      </c>
      <c r="I66" s="6">
        <v>1011.75</v>
      </c>
      <c r="J66" s="12" t="s">
        <v>10</v>
      </c>
      <c r="M66" s="8"/>
      <c r="N66" s="9"/>
    </row>
    <row r="67" spans="1:14" x14ac:dyDescent="0.2">
      <c r="A67" s="11" t="s">
        <v>145</v>
      </c>
      <c r="B67" s="5">
        <v>45673</v>
      </c>
      <c r="C67" s="4" t="s">
        <v>134</v>
      </c>
      <c r="D67" s="4" t="s">
        <v>14</v>
      </c>
      <c r="E67" s="4" t="s">
        <v>8</v>
      </c>
      <c r="F67" s="4" t="s">
        <v>9</v>
      </c>
      <c r="G67" s="6">
        <v>3</v>
      </c>
      <c r="H67" s="6">
        <v>117.2</v>
      </c>
      <c r="I67" s="6">
        <v>351.6</v>
      </c>
      <c r="J67" s="12" t="s">
        <v>10</v>
      </c>
      <c r="M67" s="8"/>
      <c r="N67" s="9"/>
    </row>
    <row r="68" spans="1:14" x14ac:dyDescent="0.2">
      <c r="A68" s="11" t="s">
        <v>146</v>
      </c>
      <c r="B68" s="5">
        <v>45679</v>
      </c>
      <c r="C68" s="4" t="s">
        <v>71</v>
      </c>
      <c r="D68" s="4" t="s">
        <v>26</v>
      </c>
      <c r="E68" s="4" t="s">
        <v>19</v>
      </c>
      <c r="F68" s="4" t="s">
        <v>59</v>
      </c>
      <c r="G68" s="6">
        <v>2</v>
      </c>
      <c r="H68" s="6">
        <v>1579.7</v>
      </c>
      <c r="I68" s="6">
        <v>3159.4</v>
      </c>
      <c r="J68" s="12" t="s">
        <v>16</v>
      </c>
      <c r="M68" s="8"/>
      <c r="N68" s="9"/>
    </row>
    <row r="69" spans="1:14" x14ac:dyDescent="0.2">
      <c r="A69" s="11" t="s">
        <v>147</v>
      </c>
      <c r="B69" s="5">
        <v>45745</v>
      </c>
      <c r="C69" s="4" t="s">
        <v>22</v>
      </c>
      <c r="D69" s="4" t="s">
        <v>7</v>
      </c>
      <c r="E69" s="4" t="s">
        <v>8</v>
      </c>
      <c r="F69" s="4" t="s">
        <v>45</v>
      </c>
      <c r="G69" s="6">
        <v>1</v>
      </c>
      <c r="H69" s="6">
        <v>1908.76</v>
      </c>
      <c r="I69" s="6">
        <v>1908.76</v>
      </c>
      <c r="J69" s="12" t="s">
        <v>16</v>
      </c>
      <c r="M69" s="8"/>
      <c r="N69" s="9"/>
    </row>
    <row r="70" spans="1:14" x14ac:dyDescent="0.2">
      <c r="A70" s="11" t="s">
        <v>148</v>
      </c>
      <c r="B70" s="5">
        <v>45740</v>
      </c>
      <c r="C70" s="4" t="s">
        <v>103</v>
      </c>
      <c r="D70" s="4" t="s">
        <v>11</v>
      </c>
      <c r="E70" s="4" t="s">
        <v>40</v>
      </c>
      <c r="F70" s="4" t="s">
        <v>41</v>
      </c>
      <c r="G70" s="6">
        <v>3</v>
      </c>
      <c r="H70" s="6">
        <v>1870.77</v>
      </c>
      <c r="I70" s="6">
        <v>5612.31</v>
      </c>
      <c r="J70" s="12" t="s">
        <v>35</v>
      </c>
      <c r="M70" s="8"/>
      <c r="N70" s="9"/>
    </row>
    <row r="71" spans="1:14" x14ac:dyDescent="0.2">
      <c r="A71" s="11" t="s">
        <v>149</v>
      </c>
      <c r="B71" s="5">
        <v>45717</v>
      </c>
      <c r="C71" s="4" t="s">
        <v>80</v>
      </c>
      <c r="D71" s="4" t="s">
        <v>11</v>
      </c>
      <c r="E71" s="4" t="s">
        <v>8</v>
      </c>
      <c r="F71" s="4" t="s">
        <v>9</v>
      </c>
      <c r="G71" s="6">
        <v>5</v>
      </c>
      <c r="H71" s="6">
        <v>986.87</v>
      </c>
      <c r="I71" s="6">
        <v>4934.3500000000004</v>
      </c>
      <c r="J71" s="12" t="s">
        <v>25</v>
      </c>
      <c r="M71" s="8"/>
      <c r="N71" s="9"/>
    </row>
    <row r="72" spans="1:14" x14ac:dyDescent="0.2">
      <c r="A72" s="11" t="s">
        <v>150</v>
      </c>
      <c r="B72" s="5">
        <v>45725</v>
      </c>
      <c r="C72" s="4" t="s">
        <v>126</v>
      </c>
      <c r="D72" s="4" t="s">
        <v>7</v>
      </c>
      <c r="E72" s="4" t="s">
        <v>40</v>
      </c>
      <c r="F72" s="4" t="s">
        <v>131</v>
      </c>
      <c r="G72" s="6">
        <v>4</v>
      </c>
      <c r="H72" s="6">
        <v>444.17</v>
      </c>
      <c r="I72" s="6">
        <v>1776.68</v>
      </c>
      <c r="J72" s="12" t="s">
        <v>16</v>
      </c>
      <c r="M72" s="8"/>
      <c r="N72" s="9"/>
    </row>
    <row r="73" spans="1:14" x14ac:dyDescent="0.2">
      <c r="A73" s="11" t="s">
        <v>151</v>
      </c>
      <c r="B73" s="5">
        <v>45734</v>
      </c>
      <c r="C73" s="4" t="s">
        <v>126</v>
      </c>
      <c r="D73" s="4" t="s">
        <v>7</v>
      </c>
      <c r="E73" s="4" t="s">
        <v>23</v>
      </c>
      <c r="F73" s="4" t="s">
        <v>67</v>
      </c>
      <c r="G73" s="6">
        <v>5</v>
      </c>
      <c r="H73" s="6">
        <v>1855.9</v>
      </c>
      <c r="I73" s="6">
        <v>9279.5</v>
      </c>
      <c r="J73" s="12" t="s">
        <v>16</v>
      </c>
      <c r="M73" s="8"/>
      <c r="N73" s="9"/>
    </row>
    <row r="74" spans="1:14" x14ac:dyDescent="0.2">
      <c r="A74" s="11" t="s">
        <v>152</v>
      </c>
      <c r="B74" s="5">
        <v>45691</v>
      </c>
      <c r="C74" s="4" t="s">
        <v>37</v>
      </c>
      <c r="D74" s="4" t="s">
        <v>14</v>
      </c>
      <c r="E74" s="4" t="s">
        <v>29</v>
      </c>
      <c r="F74" s="4" t="s">
        <v>86</v>
      </c>
      <c r="G74" s="6">
        <v>4</v>
      </c>
      <c r="H74" s="6">
        <v>864.39</v>
      </c>
      <c r="I74" s="6">
        <v>3457.56</v>
      </c>
      <c r="J74" s="12" t="s">
        <v>35</v>
      </c>
      <c r="M74" s="8"/>
      <c r="N74" s="9"/>
    </row>
    <row r="75" spans="1:14" x14ac:dyDescent="0.2">
      <c r="A75" s="11" t="s">
        <v>153</v>
      </c>
      <c r="B75" s="5">
        <v>45736</v>
      </c>
      <c r="C75" s="4" t="s">
        <v>108</v>
      </c>
      <c r="D75" s="4" t="s">
        <v>14</v>
      </c>
      <c r="E75" s="4" t="s">
        <v>29</v>
      </c>
      <c r="F75" s="4" t="s">
        <v>86</v>
      </c>
      <c r="G75" s="6">
        <v>1</v>
      </c>
      <c r="H75" s="6">
        <v>1579.76</v>
      </c>
      <c r="I75" s="6">
        <v>1579.76</v>
      </c>
      <c r="J75" s="12" t="s">
        <v>16</v>
      </c>
    </row>
    <row r="76" spans="1:14" x14ac:dyDescent="0.2">
      <c r="A76" s="11" t="s">
        <v>154</v>
      </c>
      <c r="B76" s="5">
        <v>45698</v>
      </c>
      <c r="C76" s="4" t="s">
        <v>18</v>
      </c>
      <c r="D76" s="4" t="s">
        <v>7</v>
      </c>
      <c r="E76" s="4" t="s">
        <v>29</v>
      </c>
      <c r="F76" s="4" t="s">
        <v>30</v>
      </c>
      <c r="G76" s="6">
        <v>5</v>
      </c>
      <c r="H76" s="6">
        <v>1216.21</v>
      </c>
      <c r="I76" s="6">
        <v>6081.05</v>
      </c>
      <c r="J76" s="12" t="s">
        <v>35</v>
      </c>
    </row>
    <row r="77" spans="1:14" x14ac:dyDescent="0.2">
      <c r="A77" s="11" t="s">
        <v>155</v>
      </c>
      <c r="B77" s="5">
        <v>45671</v>
      </c>
      <c r="C77" s="4" t="s">
        <v>108</v>
      </c>
      <c r="D77" s="4" t="s">
        <v>14</v>
      </c>
      <c r="E77" s="4" t="s">
        <v>8</v>
      </c>
      <c r="F77" s="4" t="s">
        <v>64</v>
      </c>
      <c r="G77" s="6">
        <v>2</v>
      </c>
      <c r="H77" s="6">
        <v>1618.77</v>
      </c>
      <c r="I77" s="6">
        <v>3237.54</v>
      </c>
      <c r="J77" s="12" t="s">
        <v>35</v>
      </c>
    </row>
    <row r="78" spans="1:14" x14ac:dyDescent="0.2">
      <c r="A78" s="11" t="s">
        <v>156</v>
      </c>
      <c r="B78" s="5">
        <v>45670</v>
      </c>
      <c r="C78" s="4" t="s">
        <v>122</v>
      </c>
      <c r="D78" s="4" t="s">
        <v>26</v>
      </c>
      <c r="E78" s="4" t="s">
        <v>8</v>
      </c>
      <c r="F78" s="4" t="s">
        <v>45</v>
      </c>
      <c r="G78" s="6">
        <v>3</v>
      </c>
      <c r="H78" s="6">
        <v>1516.95</v>
      </c>
      <c r="I78" s="6">
        <v>4550.8500000000004</v>
      </c>
      <c r="J78" s="12" t="s">
        <v>35</v>
      </c>
    </row>
    <row r="79" spans="1:14" x14ac:dyDescent="0.2">
      <c r="A79" s="11" t="s">
        <v>157</v>
      </c>
      <c r="B79" s="5">
        <v>45698</v>
      </c>
      <c r="C79" s="4" t="s">
        <v>158</v>
      </c>
      <c r="D79" s="4" t="s">
        <v>7</v>
      </c>
      <c r="E79" s="4" t="s">
        <v>19</v>
      </c>
      <c r="F79" s="4" t="s">
        <v>119</v>
      </c>
      <c r="G79" s="6">
        <v>2</v>
      </c>
      <c r="H79" s="6">
        <v>1508.57</v>
      </c>
      <c r="I79" s="6">
        <v>3017.14</v>
      </c>
      <c r="J79" s="12" t="s">
        <v>10</v>
      </c>
    </row>
    <row r="80" spans="1:14" x14ac:dyDescent="0.2">
      <c r="A80" s="11" t="s">
        <v>159</v>
      </c>
      <c r="B80" s="5">
        <v>45666</v>
      </c>
      <c r="C80" s="4" t="s">
        <v>56</v>
      </c>
      <c r="D80" s="4" t="s">
        <v>11</v>
      </c>
      <c r="E80" s="4" t="s">
        <v>23</v>
      </c>
      <c r="F80" s="4" t="s">
        <v>24</v>
      </c>
      <c r="G80" s="6">
        <v>4</v>
      </c>
      <c r="H80" s="6">
        <v>488.95</v>
      </c>
      <c r="I80" s="6">
        <v>1955.8</v>
      </c>
      <c r="J80" s="12" t="s">
        <v>25</v>
      </c>
    </row>
    <row r="81" spans="1:10" x14ac:dyDescent="0.2">
      <c r="A81" s="11" t="s">
        <v>160</v>
      </c>
      <c r="B81" s="5">
        <v>45731</v>
      </c>
      <c r="C81" s="4" t="s">
        <v>161</v>
      </c>
      <c r="D81" s="4" t="s">
        <v>26</v>
      </c>
      <c r="E81" s="4" t="s">
        <v>29</v>
      </c>
      <c r="F81" s="4" t="s">
        <v>86</v>
      </c>
      <c r="G81" s="6">
        <v>1</v>
      </c>
      <c r="H81" s="6">
        <v>143.85</v>
      </c>
      <c r="I81" s="6">
        <v>143.85</v>
      </c>
      <c r="J81" s="12" t="s">
        <v>35</v>
      </c>
    </row>
    <row r="82" spans="1:10" x14ac:dyDescent="0.2">
      <c r="A82" s="11" t="s">
        <v>162</v>
      </c>
      <c r="B82" s="5">
        <v>45665</v>
      </c>
      <c r="C82" s="4" t="s">
        <v>138</v>
      </c>
      <c r="D82" s="4" t="s">
        <v>14</v>
      </c>
      <c r="E82" s="4" t="s">
        <v>29</v>
      </c>
      <c r="F82" s="4" t="s">
        <v>30</v>
      </c>
      <c r="G82" s="6">
        <v>4</v>
      </c>
      <c r="H82" s="6">
        <v>143.35</v>
      </c>
      <c r="I82" s="6">
        <v>573.4</v>
      </c>
      <c r="J82" s="12" t="s">
        <v>35</v>
      </c>
    </row>
    <row r="83" spans="1:10" x14ac:dyDescent="0.2">
      <c r="A83" s="11" t="s">
        <v>163</v>
      </c>
      <c r="B83" s="5">
        <v>45672</v>
      </c>
      <c r="C83" s="4" t="s">
        <v>78</v>
      </c>
      <c r="D83" s="4" t="s">
        <v>11</v>
      </c>
      <c r="E83" s="4" t="s">
        <v>29</v>
      </c>
      <c r="F83" s="4" t="s">
        <v>30</v>
      </c>
      <c r="G83" s="6">
        <v>5</v>
      </c>
      <c r="H83" s="6">
        <v>106.18</v>
      </c>
      <c r="I83" s="6">
        <v>530.9</v>
      </c>
      <c r="J83" s="12" t="s">
        <v>25</v>
      </c>
    </row>
    <row r="84" spans="1:10" x14ac:dyDescent="0.2">
      <c r="A84" s="11" t="s">
        <v>164</v>
      </c>
      <c r="B84" s="5">
        <v>45713</v>
      </c>
      <c r="C84" s="4" t="s">
        <v>122</v>
      </c>
      <c r="D84" s="4" t="s">
        <v>14</v>
      </c>
      <c r="E84" s="4" t="s">
        <v>8</v>
      </c>
      <c r="F84" s="4" t="s">
        <v>45</v>
      </c>
      <c r="G84" s="6">
        <v>1</v>
      </c>
      <c r="H84" s="6">
        <v>930.75</v>
      </c>
      <c r="I84" s="6">
        <v>930.75</v>
      </c>
      <c r="J84" s="12" t="s">
        <v>16</v>
      </c>
    </row>
    <row r="85" spans="1:10" x14ac:dyDescent="0.2">
      <c r="A85" s="11" t="s">
        <v>165</v>
      </c>
      <c r="B85" s="5">
        <v>45668</v>
      </c>
      <c r="C85" s="4" t="s">
        <v>166</v>
      </c>
      <c r="D85" s="4" t="s">
        <v>26</v>
      </c>
      <c r="E85" s="4" t="s">
        <v>40</v>
      </c>
      <c r="F85" s="4" t="s">
        <v>131</v>
      </c>
      <c r="G85" s="6">
        <v>3</v>
      </c>
      <c r="H85" s="6">
        <v>642.74</v>
      </c>
      <c r="I85" s="6">
        <v>1928.22</v>
      </c>
      <c r="J85" s="12" t="s">
        <v>25</v>
      </c>
    </row>
    <row r="86" spans="1:10" x14ac:dyDescent="0.2">
      <c r="A86" s="11" t="s">
        <v>167</v>
      </c>
      <c r="B86" s="5">
        <v>45686</v>
      </c>
      <c r="C86" s="4" t="s">
        <v>108</v>
      </c>
      <c r="D86" s="4" t="s">
        <v>14</v>
      </c>
      <c r="E86" s="4" t="s">
        <v>29</v>
      </c>
      <c r="F86" s="4" t="s">
        <v>83</v>
      </c>
      <c r="G86" s="6">
        <v>1</v>
      </c>
      <c r="H86" s="6">
        <v>242.78</v>
      </c>
      <c r="I86" s="6">
        <v>242.78</v>
      </c>
      <c r="J86" s="12" t="s">
        <v>25</v>
      </c>
    </row>
    <row r="87" spans="1:10" x14ac:dyDescent="0.2">
      <c r="A87" s="11" t="s">
        <v>168</v>
      </c>
      <c r="B87" s="5">
        <v>45687</v>
      </c>
      <c r="C87" s="4" t="s">
        <v>169</v>
      </c>
      <c r="D87" s="4" t="s">
        <v>14</v>
      </c>
      <c r="E87" s="4" t="s">
        <v>40</v>
      </c>
      <c r="F87" s="4" t="s">
        <v>131</v>
      </c>
      <c r="G87" s="6">
        <v>1</v>
      </c>
      <c r="H87" s="6">
        <v>158.69</v>
      </c>
      <c r="I87" s="6">
        <v>158.69</v>
      </c>
      <c r="J87" s="12" t="s">
        <v>35</v>
      </c>
    </row>
    <row r="88" spans="1:10" x14ac:dyDescent="0.2">
      <c r="A88" s="11" t="s">
        <v>170</v>
      </c>
      <c r="B88" s="5">
        <v>45714</v>
      </c>
      <c r="C88" s="4" t="s">
        <v>80</v>
      </c>
      <c r="D88" s="4" t="s">
        <v>14</v>
      </c>
      <c r="E88" s="4" t="s">
        <v>19</v>
      </c>
      <c r="F88" s="4" t="s">
        <v>72</v>
      </c>
      <c r="G88" s="6">
        <v>2</v>
      </c>
      <c r="H88" s="6">
        <v>1389.82</v>
      </c>
      <c r="I88" s="6">
        <v>2779.64</v>
      </c>
      <c r="J88" s="12" t="s">
        <v>25</v>
      </c>
    </row>
    <row r="89" spans="1:10" x14ac:dyDescent="0.2">
      <c r="A89" s="11" t="s">
        <v>171</v>
      </c>
      <c r="B89" s="5">
        <v>45735</v>
      </c>
      <c r="C89" s="4" t="s">
        <v>92</v>
      </c>
      <c r="D89" s="4" t="s">
        <v>26</v>
      </c>
      <c r="E89" s="4" t="s">
        <v>8</v>
      </c>
      <c r="F89" s="4" t="s">
        <v>15</v>
      </c>
      <c r="G89" s="6">
        <v>2</v>
      </c>
      <c r="H89" s="6">
        <v>886.05</v>
      </c>
      <c r="I89" s="6">
        <v>1772.1</v>
      </c>
      <c r="J89" s="12" t="s">
        <v>10</v>
      </c>
    </row>
    <row r="90" spans="1:10" x14ac:dyDescent="0.2">
      <c r="A90" s="11" t="s">
        <v>172</v>
      </c>
      <c r="B90" s="5">
        <v>45659</v>
      </c>
      <c r="C90" s="4" t="s">
        <v>92</v>
      </c>
      <c r="D90" s="4" t="s">
        <v>26</v>
      </c>
      <c r="E90" s="4" t="s">
        <v>40</v>
      </c>
      <c r="F90" s="4" t="s">
        <v>93</v>
      </c>
      <c r="G90" s="6">
        <v>4</v>
      </c>
      <c r="H90" s="6">
        <v>1400.3</v>
      </c>
      <c r="I90" s="6">
        <v>5601.2</v>
      </c>
      <c r="J90" s="12" t="s">
        <v>16</v>
      </c>
    </row>
    <row r="91" spans="1:10" x14ac:dyDescent="0.2">
      <c r="A91" s="11" t="s">
        <v>173</v>
      </c>
      <c r="B91" s="5">
        <v>45696</v>
      </c>
      <c r="C91" s="4" t="s">
        <v>37</v>
      </c>
      <c r="D91" s="4" t="s">
        <v>14</v>
      </c>
      <c r="E91" s="4" t="s">
        <v>19</v>
      </c>
      <c r="F91" s="4" t="s">
        <v>72</v>
      </c>
      <c r="G91" s="6">
        <v>5</v>
      </c>
      <c r="H91" s="6">
        <v>520.04999999999995</v>
      </c>
      <c r="I91" s="6">
        <v>2600.25</v>
      </c>
      <c r="J91" s="12" t="s">
        <v>35</v>
      </c>
    </row>
    <row r="92" spans="1:10" x14ac:dyDescent="0.2">
      <c r="A92" s="11" t="s">
        <v>174</v>
      </c>
      <c r="B92" s="5">
        <v>45689</v>
      </c>
      <c r="C92" s="4" t="s">
        <v>63</v>
      </c>
      <c r="D92" s="4" t="s">
        <v>26</v>
      </c>
      <c r="E92" s="4" t="s">
        <v>40</v>
      </c>
      <c r="F92" s="4" t="s">
        <v>41</v>
      </c>
      <c r="G92" s="6">
        <v>2</v>
      </c>
      <c r="H92" s="6">
        <v>1150.94</v>
      </c>
      <c r="I92" s="6">
        <v>2301.88</v>
      </c>
      <c r="J92" s="12" t="s">
        <v>10</v>
      </c>
    </row>
    <row r="93" spans="1:10" x14ac:dyDescent="0.2">
      <c r="A93" s="11" t="s">
        <v>175</v>
      </c>
      <c r="B93" s="5">
        <v>45693</v>
      </c>
      <c r="C93" s="4" t="s">
        <v>48</v>
      </c>
      <c r="D93" s="4" t="s">
        <v>7</v>
      </c>
      <c r="E93" s="4" t="s">
        <v>19</v>
      </c>
      <c r="F93" s="4" t="s">
        <v>20</v>
      </c>
      <c r="G93" s="6">
        <v>5</v>
      </c>
      <c r="H93" s="6">
        <v>1597.98</v>
      </c>
      <c r="I93" s="6">
        <v>7989.9</v>
      </c>
      <c r="J93" s="12" t="s">
        <v>10</v>
      </c>
    </row>
    <row r="94" spans="1:10" x14ac:dyDescent="0.2">
      <c r="A94" s="11" t="s">
        <v>176</v>
      </c>
      <c r="B94" s="5">
        <v>45708</v>
      </c>
      <c r="C94" s="4" t="s">
        <v>126</v>
      </c>
      <c r="D94" s="4" t="s">
        <v>11</v>
      </c>
      <c r="E94" s="4" t="s">
        <v>40</v>
      </c>
      <c r="F94" s="4" t="s">
        <v>49</v>
      </c>
      <c r="G94" s="6">
        <v>3</v>
      </c>
      <c r="H94" s="6">
        <v>1137.4100000000001</v>
      </c>
      <c r="I94" s="6">
        <v>3412.23</v>
      </c>
      <c r="J94" s="12" t="s">
        <v>16</v>
      </c>
    </row>
    <row r="95" spans="1:10" x14ac:dyDescent="0.2">
      <c r="A95" s="11" t="s">
        <v>177</v>
      </c>
      <c r="B95" s="5">
        <v>45746</v>
      </c>
      <c r="C95" s="4" t="s">
        <v>178</v>
      </c>
      <c r="D95" s="4" t="s">
        <v>26</v>
      </c>
      <c r="E95" s="4" t="s">
        <v>8</v>
      </c>
      <c r="F95" s="4" t="s">
        <v>9</v>
      </c>
      <c r="G95" s="6">
        <v>4</v>
      </c>
      <c r="H95" s="6">
        <v>152.65</v>
      </c>
      <c r="I95" s="6">
        <v>610.6</v>
      </c>
      <c r="J95" s="12" t="s">
        <v>35</v>
      </c>
    </row>
    <row r="96" spans="1:10" x14ac:dyDescent="0.2">
      <c r="A96" s="11" t="s">
        <v>179</v>
      </c>
      <c r="B96" s="5">
        <v>45747</v>
      </c>
      <c r="C96" s="4" t="s">
        <v>103</v>
      </c>
      <c r="D96" s="4" t="s">
        <v>11</v>
      </c>
      <c r="E96" s="4" t="s">
        <v>8</v>
      </c>
      <c r="F96" s="4" t="s">
        <v>45</v>
      </c>
      <c r="G96" s="6">
        <v>2</v>
      </c>
      <c r="H96" s="6">
        <v>997.83</v>
      </c>
      <c r="I96" s="6">
        <v>1995.66</v>
      </c>
      <c r="J96" s="12" t="s">
        <v>25</v>
      </c>
    </row>
    <row r="97" spans="1:10" x14ac:dyDescent="0.2">
      <c r="A97" s="11" t="s">
        <v>180</v>
      </c>
      <c r="B97" s="5">
        <v>45679</v>
      </c>
      <c r="C97" s="4" t="s">
        <v>181</v>
      </c>
      <c r="D97" s="4" t="s">
        <v>14</v>
      </c>
      <c r="E97" s="4" t="s">
        <v>8</v>
      </c>
      <c r="F97" s="4" t="s">
        <v>64</v>
      </c>
      <c r="G97" s="6">
        <v>1</v>
      </c>
      <c r="H97" s="6">
        <v>1465.01</v>
      </c>
      <c r="I97" s="6">
        <v>1465.01</v>
      </c>
      <c r="J97" s="12" t="s">
        <v>35</v>
      </c>
    </row>
    <row r="98" spans="1:10" x14ac:dyDescent="0.2">
      <c r="A98" s="11" t="s">
        <v>182</v>
      </c>
      <c r="B98" s="5">
        <v>45660</v>
      </c>
      <c r="C98" s="4" t="s">
        <v>74</v>
      </c>
      <c r="D98" s="4" t="s">
        <v>11</v>
      </c>
      <c r="E98" s="4" t="s">
        <v>8</v>
      </c>
      <c r="F98" s="4" t="s">
        <v>9</v>
      </c>
      <c r="G98" s="6">
        <v>5</v>
      </c>
      <c r="H98" s="6">
        <v>112.47</v>
      </c>
      <c r="I98" s="6">
        <v>562.35</v>
      </c>
      <c r="J98" s="12" t="s">
        <v>10</v>
      </c>
    </row>
    <row r="99" spans="1:10" x14ac:dyDescent="0.2">
      <c r="A99" s="11" t="s">
        <v>183</v>
      </c>
      <c r="B99" s="5">
        <v>45714</v>
      </c>
      <c r="C99" s="4" t="s">
        <v>22</v>
      </c>
      <c r="D99" s="4" t="s">
        <v>26</v>
      </c>
      <c r="E99" s="4" t="s">
        <v>19</v>
      </c>
      <c r="F99" s="4" t="s">
        <v>20</v>
      </c>
      <c r="G99" s="6">
        <v>2</v>
      </c>
      <c r="H99" s="6">
        <v>899.3</v>
      </c>
      <c r="I99" s="6">
        <v>1798.6</v>
      </c>
      <c r="J99" s="12" t="s">
        <v>16</v>
      </c>
    </row>
    <row r="100" spans="1:10" x14ac:dyDescent="0.2">
      <c r="A100" s="11" t="s">
        <v>184</v>
      </c>
      <c r="B100" s="5">
        <v>45740</v>
      </c>
      <c r="C100" s="4" t="s">
        <v>66</v>
      </c>
      <c r="D100" s="4" t="s">
        <v>11</v>
      </c>
      <c r="E100" s="4" t="s">
        <v>8</v>
      </c>
      <c r="F100" s="4" t="s">
        <v>45</v>
      </c>
      <c r="G100" s="6">
        <v>1</v>
      </c>
      <c r="H100" s="6">
        <v>1543.35</v>
      </c>
      <c r="I100" s="6">
        <v>1543.35</v>
      </c>
      <c r="J100" s="12" t="s">
        <v>16</v>
      </c>
    </row>
    <row r="101" spans="1:10" x14ac:dyDescent="0.2">
      <c r="A101" s="18" t="s">
        <v>185</v>
      </c>
      <c r="B101" s="19">
        <v>45691</v>
      </c>
      <c r="C101" s="20" t="s">
        <v>52</v>
      </c>
      <c r="D101" s="20" t="s">
        <v>14</v>
      </c>
      <c r="E101" s="20" t="s">
        <v>23</v>
      </c>
      <c r="F101" s="20" t="s">
        <v>67</v>
      </c>
      <c r="G101" s="21">
        <v>2</v>
      </c>
      <c r="H101" s="21">
        <v>430.6</v>
      </c>
      <c r="I101" s="21">
        <v>861.2</v>
      </c>
      <c r="J101" s="22" t="s">
        <v>25</v>
      </c>
    </row>
  </sheetData>
  <pageMargins left="0.7" right="0.7" top="0.75" bottom="0.75" header="0.3" footer="0.3"/>
  <pageSetup orientation="portrait" horizontalDpi="120" verticalDpi="96" r:id="rId6"/>
  <drawing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zoomScale="60" zoomScaleNormal="60" workbookViewId="0">
      <selection activeCell="L19" sqref="L19"/>
    </sheetView>
  </sheetViews>
  <sheetFormatPr defaultRowHeight="14.25" x14ac:dyDescent="0.2"/>
  <cols>
    <col min="1" max="1" width="12.875" customWidth="1"/>
    <col min="2" max="2" width="17.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Ecommerce_Sales_Performance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2025-11-04T05:48:20Z</dcterms:created>
  <dcterms:modified xsi:type="dcterms:W3CDTF">2025-11-04T11:29:37Z</dcterms:modified>
</cp:coreProperties>
</file>